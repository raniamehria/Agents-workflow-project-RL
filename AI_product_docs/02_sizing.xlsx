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fill it" sheetId="1" state="visible" r:id="rId3"/>
    <sheet name="Inputs" sheetId="2" state="visible" r:id="rId4"/>
    <sheet name="Upside" sheetId="3" state="visible" r:id="rId5"/>
    <sheet name="Decision" sheetId="4" state="visible" r:id="rId6"/>
    <sheet name="Build or bu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<sst xmlns="http://schemas.openxmlformats.org/spreadsheetml/2006/main" count="553" uniqueCount="388">
  <si>
    <t xml:space="preserve">02_sizing — how to fill it in (Assignment 2)</t>
  </si>
  <si>
    <t xml:space="preserve">WHICH PROJECT IS THIS ABOUT?</t>
  </si>
  <si>
    <t xml:space="preserve"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</si>
  <si>
    <t xml:space="preserve">WHAT THE SHEET ANSWERS</t>
  </si>
  <si>
    <t xml:space="preserve"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</si>
  <si>
    <t xml:space="preserve">WHERE YOUR NUMBERS COME FROM</t>
  </si>
  <si>
    <t xml:space="preserve"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</si>
  <si>
    <t xml:space="preserve">STEP BY STEP — about one hour, as a team. Type only in the yellow cells.</t>
  </si>
  <si>
    <t xml:space="preserve">Step</t>
  </si>
  <si>
    <t xml:space="preserve">Where</t>
  </si>
  <si>
    <t xml:space="preserve">What to enter</t>
  </si>
  <si>
    <t xml:space="preserve">Tip</t>
  </si>
  <si>
    <t xml:space="preserve">1 · Volume and human cost</t>
  </si>
  <si>
    <t xml:space="preserve">Inputs, rows 6–9</t>
  </si>
  <si>
    <t xml:space="preserve">Tickets per month; number of support agents; what ONE agent costs the company per year (all-in); the cost of one ticket handled by a human.</t>
  </si>
  <si>
    <t xml:space="preserve">From your proposal. Row 10 gives the agent time per ticket from headcount (Paylio: 60 × €45k ÷ 480,000 ≈ €5.6; €10 all-in with team leads, QA and tools); row 11 the tickets per agent per day.</t>
  </si>
  <si>
    <t xml:space="preserve">2 · Your categories</t>
  </si>
  <si>
    <t xml:space="preserve">Inputs, A14:A16 and rows 14–16</t>
  </si>
  <si>
    <t xml:space="preserve">Rename the three categories of work your agent deals with — ticket types, requests, incidents, accounts (e.g. P4: refund requests, delivery questions, account issues) — and give each one's share of the volume.</t>
  </si>
  <si>
    <t xml:space="preserve">Fewer than three? Set Include = 0 (rows 34–36) for the unused ones.</t>
  </si>
  <si>
    <t xml:space="preserve">3 · Automatable share</t>
  </si>
  <si>
    <t xml:space="preserve">Inputs, rows 18–20</t>
  </si>
  <si>
    <t xml:space="preserve">In each category, the share of tickets the agent could handle at all (answerable from the documentation, the policy, the data it can see).</t>
  </si>
  <si>
    <t xml:space="preserve">Guess from a sample of tickets — and say how you would check it.</t>
  </si>
  <si>
    <t xml:space="preserve">4 · Deflection realised</t>
  </si>
  <si>
    <t xml:space="preserve">Inputs, rows 22–24</t>
  </si>
  <si>
    <t xml:space="preserve">Of those, the share actually resolved without a human once live.</t>
  </si>
  <si>
    <t xml:space="preserve">Usually THE assumption that flips the decision: mark it “guess → S4 test”.</t>
  </si>
  <si>
    <t xml:space="preserve">5 · Errors and what they cost</t>
  </si>
  <si>
    <t xml:space="preserve">Inputs, rows 26–32</t>
  </si>
  <si>
    <t xml:space="preserve">The error rate per category, and the cost in € of one wrong answer (customer retries, refund leakage, penalty, churn, a legal case).</t>
  </si>
  <si>
    <t xml:space="preserve">The costly categories are where a human must stay — that is a scope decision (step 6).</t>
  </si>
  <si>
    <t xml:space="preserve">6 · Scope</t>
  </si>
  <si>
    <t xml:space="preserve">Inputs, rows 34–36</t>
  </si>
  <si>
    <t xml:space="preserve">1 = the agent handles this category, 0 = it does not.</t>
  </si>
  <si>
    <t xml:space="preserve">Try 0 on the riskiest category and watch the decision.</t>
  </si>
  <si>
    <t xml:space="preserve">7 · Adoption by quarter</t>
  </si>
  <si>
    <t xml:space="preserve">Inputs, rows 39–42</t>
  </si>
  <si>
    <t xml:space="preserve">The share of the deflectable volume actually handled in Q1, Q2, Q3, Q4.</t>
  </si>
  <si>
    <t xml:space="preserve">Never 100 % in Q1 — Octopus Energy went from a handful of emails to 34 %, then 45 %.</t>
  </si>
  <si>
    <t xml:space="preserve">8 · AI cost</t>
  </si>
  <si>
    <t xml:space="preserve">Inputs, rows 45–46</t>
  </si>
  <si>
    <t xml:space="preserve">The AI cost per conversation (tokens × price) and the retry overhead.</t>
  </si>
  <si>
    <t xml:space="preserve">€0.02–0.20 per conversation; recheck token prices the day you fill it in.</t>
  </si>
  <si>
    <t xml:space="preserve">9 · Fixed costs</t>
  </si>
  <si>
    <t xml:space="preserve">Inputs, rows 49–56</t>
  </si>
  <si>
    <t xml:space="preserve">Integration, evaluation, supervision (people in the loop, in FTE), monitoring and on-call, re-evaluation when the model changes.</t>
  </si>
  <si>
    <t xml:space="preserve">The human in the loop is a cost line, not free.</t>
  </si>
  <si>
    <t xml:space="preserve">10 · The two comparisons</t>
  </si>
  <si>
    <t xml:space="preserve">Inputs, rows 59–60</t>
  </si>
  <si>
    <t xml:space="preserve">How much the current process improves each year on its own (do-nothing), and the yearly value of the next-best project the same team could do (name it in the note).</t>
  </si>
  <si>
    <t xml:space="preserve">The hurdle is another project, not zero.</t>
  </si>
  <si>
    <t xml:space="preserve">11 · Probabilities</t>
  </si>
  <si>
    <t xml:space="preserve">Inputs, row 63</t>
  </si>
  <si>
    <t xml:space="preserve">How likely you find the pessimistic, base and optimistic scenarios.</t>
  </si>
  <si>
    <t xml:space="preserve">Must sum to 1 (row 64 checks it).</t>
  </si>
  <si>
    <t xml:space="preserve">12 · Read the result</t>
  </si>
  <si>
    <t xml:space="preserve">Decision tab</t>
  </si>
  <si>
    <t xml:space="preserve">Net value per scenario, expected value, comparisons, the decision cell, and the sensitivity table: the deflection rate at which the decision flips.</t>
  </si>
  <si>
    <t xml:space="preserve">Do not type here. The flip point goes in the memo — your Session 4 prototype will measure it.</t>
  </si>
  <si>
    <t xml:space="preserve">13 · Build, buy or orchestrate</t>
  </si>
  <si>
    <t xml:space="preserve">Build or buy tab</t>
  </si>
  <si>
    <t xml:space="preserve">Weights (sum 100 %) and a score from 1 to 5 for each option on the ten questions; the vendor's price per resolution for the break-even.</t>
  </si>
  <si>
    <t xml:space="preserve">The score informs the decision; the memo makes it.</t>
  </si>
  <si>
    <t xml:space="preserve">14 · Write the memo</t>
  </si>
  <si>
    <t xml:space="preserve">02_investment_memo.md</t>
  </si>
  <si>
    <t xml:space="preserve">Recommendation on line one, the four CFO questions, one line on build / buy / orchestrate.</t>
  </si>
  <si>
    <t xml:space="preserve">Same base case as this sheet.</t>
  </si>
  <si>
    <t xml:space="preserve">STARTING NUMBERS FROM THE PROJECT DOCUMENT</t>
  </si>
  <si>
    <t xml:space="preserve">Proposal</t>
  </si>
  <si>
    <t xml:space="preserve">Company numbers</t>
  </si>
  <si>
    <t xml:space="preserve">The pain</t>
  </si>
  <si>
    <t xml:space="preserve">Kind of value</t>
  </si>
  <si>
    <t xml:space="preserve">P1 · HR &amp; payroll SaaS</t>
  </si>
  <si>
    <t xml:space="preserve">2,500 customer companies · 40,000 tickets/month · 60 support agents</t>
  </si>
  <si>
    <t xml:space="preserve">55 % of tickets are “how do I…” questions already answered in the documentation; peaks at month end</t>
  </si>
  <si>
    <t xml:space="preserve">Work avoided</t>
  </si>
  <si>
    <t xml:space="preserve">P2 · B2B payments fintech</t>
  </si>
  <si>
    <t xml:space="preserve">800 merchants · 12,000 tickets/month</t>
  </si>
  <si>
    <t xml:space="preserve">Agents spend 40 % of handling time reading transaction history and past tickets</t>
  </si>
  <si>
    <t xml:space="preserve">Time saved (copilot)</t>
  </si>
  <si>
    <t xml:space="preserve">P3 · DevOps / observability</t>
  </si>
  <si>
    <t xml:space="preserve">5,000 accounts · tickets ×10 during incidents (normal volume not given: estimate it)</t>
  </si>
  <si>
    <t xml:space="preserve">During an outage, 70 % of tickets say the same thing</t>
  </si>
  <si>
    <t xml:space="preserve">Incident load — tickets per incident × incidents a year</t>
  </si>
  <si>
    <t xml:space="preserve">P4 · E-commerce logistics</t>
  </si>
  <si>
    <t xml:space="preserve">15,000 merchants · 25,000 tickets/month</t>
  </si>
  <si>
    <t xml:space="preserve">30 % of tickets are label refunds; refunds under €20 cost more to process than they are worth</t>
  </si>
  <si>
    <t xml:space="preserve">Work avoided; the cost of error is refund leakage</t>
  </si>
  <si>
    <t xml:space="preserve">P5 · Ed-tech LMS</t>
  </si>
  <si>
    <t xml:space="preserve">14 countries · 6 languages · 20 agents (volume not given: estimate it)</t>
  </si>
  <si>
    <t xml:space="preserve">Tickets in Portuguese, Polish, Arabic wait 2–3× longer</t>
  </si>
  <si>
    <t xml:space="preserve">Work avoided — use the categories for languages</t>
  </si>
  <si>
    <t xml:space="preserve">P6 · Project-management SaaS</t>
  </si>
  <si>
    <t xml:space="preserve">30,000 SMB accounts · 9,000 tickets/month · 8 % annual churn</t>
  </si>
  <si>
    <t xml:space="preserve">Churn signals visible in support weeks before cancellation</t>
  </si>
  <si>
    <t xml:space="preserve">Work avoided + revenue retained (Other value)</t>
  </si>
  <si>
    <t xml:space="preserve">P7 · Cybersecurity SaaS</t>
  </si>
  <si>
    <t xml:space="preserve">400 enterprise accounts · 6,000 tickets/month · 25 engineers · SLA P1 = 1 h, P2 = 4 h</t>
  </si>
  <si>
    <t xml:space="preserve">Misprioritised tickets cause SLA breaches and penalties</t>
  </si>
  <si>
    <t xml:space="preserve">Time saved + penalties avoided (Other value)</t>
  </si>
  <si>
    <t xml:space="preserve">P8 · Hospitality-tech</t>
  </si>
  <si>
    <t xml:space="preserve">3,000 hotels (volume not given: estimate it) · reviews.csv for real data</t>
  </si>
  <si>
    <t xml:space="preserve">20 % of tickets are analysis requests; answer today in 4 days</t>
  </si>
  <si>
    <t xml:space="preserve">Time saved — analysis requests answered faster</t>
  </si>
  <si>
    <t xml:space="preserve">Own project</t>
  </si>
  <si>
    <t xml:space="preserve">The numbers of your 00_pitch.md</t>
  </si>
  <si>
    <t xml:space="preserve">Your pain, expressed as a cost</t>
  </si>
  <si>
    <t xml:space="preserve">Pick the kind of value below; invent plausible numbers and label them</t>
  </si>
  <si>
    <t xml:space="preserve">NOT ONLY TICKETS — OTHER KINDS OF VALUE, WITH WORKED EXAMPLES</t>
  </si>
  <si>
    <t xml:space="preserve"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</si>
  <si>
    <t xml:space="preserve">Typical for</t>
  </si>
  <si>
    <t xml:space="preserve">What goes where in the sheet</t>
  </si>
  <si>
    <t xml:space="preserve">Illustrative example</t>
  </si>
  <si>
    <t xml:space="preserve">Work avoided (deflection)</t>
  </si>
  <si>
    <t xml:space="preserve">P1, P4, P5</t>
  </si>
  <si>
    <t xml:space="preserve">Volume = tickets · success rate = deflection · value per unit = human cost of one ticket.</t>
  </si>
  <si>
    <t xml:space="preserve">P1: 40,000 tickets × 55 % “how do I” × 68 % automatable × your deflection rate (say 50 %) × €10 ≈ €75k a month at full adoption.</t>
  </si>
  <si>
    <t xml:space="preserve">P2, P7 (triage), P8</t>
  </si>
  <si>
    <t xml:space="preserve">Volume = tickets or requests the agent helps with · success rate = share of handling time saved · value per unit = human cost of one.</t>
  </si>
  <si>
    <t xml:space="preserve">P2: 12,000 tickets × 100 % with the copilot × 20 % of time saved × €10 ≈ €24k a month.</t>
  </si>
  <si>
    <t xml:space="preserve">Revenue retained</t>
  </si>
  <si>
    <t xml:space="preserve">P6</t>
  </si>
  <si>
    <t xml:space="preserve">Use an Other value row (67–68): accounts at risk that reach support × share saved × yearly revenue per account.</t>
  </si>
  <si>
    <t xml:space="preserve">P6: 30,000 accounts × 8 % churn = 2,400 lost a year; half open a ticket first; 10 % saved = 120 × €1,200 ≈ €144k a year.</t>
  </si>
  <si>
    <t xml:space="preserve">Penalties avoided</t>
  </si>
  <si>
    <t xml:space="preserve">P7</t>
  </si>
  <si>
    <t xml:space="preserve">Use an Other value row: breaches a year × share avoided × penalty per breach (from the contracts).</t>
  </si>
  <si>
    <t xml:space="preserve">P7: 240 SLA breaches a year × 30 % avoided × €2,000 ≈ €144k a year.</t>
  </si>
  <si>
    <t xml:space="preserve">Faster answers, incident load</t>
  </si>
  <si>
    <t xml:space="preserve">P3, P8</t>
  </si>
  <si>
    <t xml:space="preserve">Volume = requests or incident tickets (incidents a year × tickets per incident ÷ 12) · value = agent time per ticket; the speed gain goes in the memo.</t>
  </si>
  <si>
    <t xml:space="preserve">P3: 20 incidents a year × 1,500 tickets each ÷ 12 = 2,500 tickets a month.</t>
  </si>
  <si>
    <t xml:space="preserve">Data &amp; AI Product: From Diagnosis to Delivery · Albert School MSA-DAT07-04 · Assignment 2 · BleuAI</t>
  </si>
  <si>
    <t xml:space="preserve">02_sizing — CyberSLA · SLA-aware alert prioritisation agent, B2B cybersecurity SaaS · Inputs</t>
  </si>
  <si>
    <t xml:space="preserve">Template for Assignment 2. Fill the yellow cells (Low / Base / High, Source type). Black cells are formulas — do not type over them. 'Low' = pessimistic scenario throughout (lower value, higher cost and error rates); 'High' = optimistic. Column H shows the class exercise (Paylio, a fictional company) as an example of format only — your numbers are those of YOUR team's project. Step-by-step guide in the first tab.</t>
  </si>
  <si>
    <t xml:space="preserve">Parameter</t>
  </si>
  <si>
    <t xml:space="preserve">Unit</t>
  </si>
  <si>
    <t xml:space="preserve">Low (pessimistic)</t>
  </si>
  <si>
    <t xml:space="preserve">Base</t>
  </si>
  <si>
    <t xml:space="preserve">High (optimistic)</t>
  </si>
  <si>
    <t xml:space="preserve">Source type</t>
  </si>
  <si>
    <t xml:space="preserve">Note / where the number comes from</t>
  </si>
  <si>
    <t xml:space="preserve">Example only — class exercise (Paylio, base)</t>
  </si>
  <si>
    <t xml:space="preserve">VOLUME AND HUMAN COST</t>
  </si>
  <si>
    <t xml:space="preserve">Volume per month (tickets, requests, conversations…)</t>
  </si>
  <si>
    <t xml:space="preserve">tickets</t>
  </si>
  <si>
    <t xml:space="preserve">measured (benchmark)</t>
  </si>
  <si>
    <t xml:space="preserve">01_problem_statement: 960 alerts/day average (Prophet Security AI in SOC Survey 2025) → 28,800/month. Low = 20,000 (README figure). High = base + 20 % (01: alert volume +20 %/yr, Gurucul 2025, N-able 2026).</t>
  </si>
  <si>
    <t xml:space="preserve">Tier-1 support agents (headcount)</t>
  </si>
  <si>
    <t xml:space="preserve">people</t>
  </si>
  <si>
    <t xml:space="preserve">01: 8–10 analysts for 24×7 coverage (Expel 2026). NB README says 40 analysts — team to align on ONE number.</t>
  </si>
  <si>
    <t xml:space="preserve">Cost of ONE agent to the company per year (all-in)</t>
  </si>
  <si>
    <t xml:space="preserve">€ / year</t>
  </si>
  <si>
    <t xml:space="preserve">analogy</t>
  </si>
  <si>
    <t xml:space="preserve">01: €75–90k salary (DVF Recruitment 2025) × 2.5–3 fully loaded, 24/7 shift premium → €225–300k.</t>
  </si>
  <si>
    <t xml:space="preserve">Cost of ONE unit handled by a human (ticket, request…)</t>
  </si>
  <si>
    <t xml:space="preserve">€ / ticket</t>
  </si>
  <si>
    <t xml:space="preserve">Fully loaded analyst time per alert triaged. Check row 10: 10 × €270k ÷ 345,600 alerts/yr ≈ €7.8. Low/high ±25 %. To check: time the triage of 50 alerts.</t>
  </si>
  <si>
    <t xml:space="preserve">Check — cost per ticket from headcount, base = agents × cost per agent ÷ tickets per year</t>
  </si>
  <si>
    <t xml:space="preserve">Formula, not an input: agents × cost per agent ÷ (volume × 12) = the agent time per unit. Row 9 should be equal or higher (Paylio: €5.6 of agent time, €10 all-in).</t>
  </si>
  <si>
    <t xml:space="preserve">Check — tickets per agent per working day, base (21 working days a month)</t>
  </si>
  <si>
    <t xml:space="preserve">Formula, not an input: volume ÷ agents ÷ 21 — a sanity check (Paylio ≈ 32 tickets a day).</t>
  </si>
  <si>
    <t xml:space="preserve">TICKET CATEGORIES</t>
  </si>
  <si>
    <t xml:space="preserve">Share of the volume by category (rename the three categories in A14:A16 — the other blocks follow)</t>
  </si>
  <si>
    <t xml:space="preserve">   Low-severity &amp; false-positive alerts (noise)</t>
  </si>
  <si>
    <t xml:space="preserve">share</t>
  </si>
  <si>
    <t xml:space="preserve">Prophet Security 2025: 40 % of alerts left uninvestigated, most of them noise; we assume 60 % low/false-positive. To measure on the S4 dataset (00_datasource_links.md, priority field).</t>
  </si>
  <si>
    <t xml:space="preserve">   Medium / high alerts needing investigation</t>
  </si>
  <si>
    <t xml:space="preserve">guess</t>
  </si>
  <si>
    <t xml:space="preserve">Remainder minus critical. Measure on the S4 dataset.</t>
  </si>
  <si>
    <t xml:space="preserve">   Critical alerts (SLA ≤ 1–3 h)</t>
  </si>
  <si>
    <t xml:space="preserve">Critical share — drives the tail risk. Measure on the S4 dataset (P1 share).</t>
  </si>
  <si>
    <t xml:space="preserve">Automatable share (answerable from documentation)</t>
  </si>
  <si>
    <t xml:space="preserve">Share of noise alerts the agent can enrich and rank (SLA + severity + asset context available). Test: 200 alerts of the S4 dataset.</t>
  </si>
  <si>
    <t xml:space="preserve">Investigations: the agent pre-gathers context for half of them. Test on 200 alerts.</t>
  </si>
  <si>
    <t xml:space="preserve">Not valued (out of scope, row 36).</t>
  </si>
  <si>
    <t xml:space="preserve">Success rate on the automatable share (deflection — or share of time saved, see the guide)</t>
  </si>
  <si>
    <t xml:space="preserve">guess → S4 test</t>
  </si>
  <si>
    <t xml:space="preserve">COPILOT, not deflection: share of analyst triage time saved on noise when the queue arrives pre-ranked and explained. THE flip assumption — timed with vs without the agent on 200 alerts in S4.</t>
  </si>
  <si>
    <t xml:space="preserve">your guess: 30–80 %</t>
  </si>
  <si>
    <t xml:space="preserve">Share of investigation time saved by the pre-gathered context (asset, SLA clock, similar past alerts).</t>
  </si>
  <si>
    <t xml:space="preserve">your guess: lower — harder questions</t>
  </si>
  <si>
    <t xml:space="preserve">decision</t>
  </si>
  <si>
    <t xml:space="preserve">Critical alerts: no time-saving claimed — the analyst handles them fully.</t>
  </si>
  <si>
    <t xml:space="preserve">your guess</t>
  </si>
  <si>
    <t xml:space="preserve">Error rate — share of AI answers that are wrong</t>
  </si>
  <si>
    <t xml:space="preserve">Share of noise alerts ranked too low (a real threat hidden in noise). Eval-set in S5.</t>
  </si>
  <si>
    <t xml:space="preserve">Share of investigations ranked too low. Eval-set in S5.</t>
  </si>
  <si>
    <t xml:space="preserve">Not valued (out of scope).</t>
  </si>
  <si>
    <t xml:space="preserve">Cost of one wrong answer</t>
  </si>
  <si>
    <t xml:space="preserve">€ / error</t>
  </si>
  <si>
    <t xml:space="preserve">judgement</t>
  </si>
  <si>
    <t xml:space="preserve">Re-triage later + small chance of a late real threat. The catastrophic case is priced separately (row 68 + governance.md).</t>
  </si>
  <si>
    <t xml:space="preserve">a few € (asks again)</t>
  </si>
  <si>
    <t xml:space="preserve">Investigation started late: analyst time + SLA clock lost.</t>
  </si>
  <si>
    <t xml:space="preserve">hundreds of € (penalty)</t>
  </si>
  <si>
    <t xml:space="preserve">n/a</t>
  </si>
  <si>
    <t xml:space="preserve">Out of scope.</t>
  </si>
  <si>
    <t xml:space="preserve">tens of € (refund)</t>
  </si>
  <si>
    <t xml:space="preserve">Include category in scope? (1 = yes, 0 = no)</t>
  </si>
  <si>
    <t xml:space="preserve">1/0</t>
  </si>
  <si>
    <t xml:space="preserve">In scope: agent ranks and explains (L4 internal); analyst decides.</t>
  </si>
  <si>
    <t xml:space="preserve">In scope: agent pre-gathers context; analyst investigates.</t>
  </si>
  <si>
    <t xml:space="preserve">EXCLUDED: critical alerts go straight to the on-call analyst. The agent may RAISE a priority, never lower it (governance.md, guardrail 4).</t>
  </si>
  <si>
    <t xml:space="preserve">ADOPTION RAMP — share of deflectable volume actually handled, by quarter</t>
  </si>
  <si>
    <t xml:space="preserve">   Q1</t>
  </si>
  <si>
    <t xml:space="preserve">Staged rollout (one shift, then 24×7); each step only if critical-alert recall on the eval replay stays ≥ 99 %.</t>
  </si>
  <si>
    <t xml:space="preserve">   Q2</t>
  </si>
  <si>
    <t xml:space="preserve">   Q3</t>
  </si>
  <si>
    <t xml:space="preserve">   Q4</t>
  </si>
  <si>
    <t xml:space="preserve">AI HANDLING COST</t>
  </si>
  <si>
    <t xml:space="preserve">AI cost per conversation (tokens, inference)</t>
  </si>
  <si>
    <t xml:space="preserve">€ / conv.</t>
  </si>
  <si>
    <t xml:space="preserve">Private inference (logs cannot leave): open-weights model in our EU VPC, ≈ 3k tokens per alert. NB the template counts it only on the time-saved volume; inference on ALL alerts (~€17k/yr) sits in Monitoring (row 54).</t>
  </si>
  <si>
    <t xml:space="preserve">Retry / escalation overhead</t>
  </si>
  <si>
    <t xml:space="preserve">×</t>
  </si>
  <si>
    <t xml:space="preserve">Re-runs and re-ranking (S2 slides: 1.1–1.3).</t>
  </si>
  <si>
    <t xml:space="preserve">FIXED AND SEMI-FIXED COSTS</t>
  </si>
  <si>
    <t xml:space="preserve">Integration (CRM, knowledge base, auth, logging) — one-off</t>
  </si>
  <si>
    <t xml:space="preserve">€</t>
  </si>
  <si>
    <t xml:space="preserve">SIEM/SOAR connector + SLA contract data per customer + private inference deployment (security review, pen-test).</t>
  </si>
  <si>
    <t xml:space="preserve">Amortisation period</t>
  </si>
  <si>
    <t xml:space="preserve">years</t>
  </si>
  <si>
    <t xml:space="preserve">Evaluation — eval-set upkeep and human graders</t>
  </si>
  <si>
    <t xml:space="preserve">Eval-set that OVERSAMPLES critical alerts (recall, not accuracy) + analysts as graders.</t>
  </si>
  <si>
    <t xml:space="preserve">Supervision — humans in the loop (L2)</t>
  </si>
  <si>
    <t xml:space="preserve">FTE</t>
  </si>
  <si>
    <t xml:space="preserve">Detection engineer who owns the ranking rules, reviews misses weekly (the human in the loop is a cost line).</t>
  </si>
  <si>
    <t xml:space="preserve">Cost per supervision FTE</t>
  </si>
  <si>
    <t xml:space="preserve">Day-shift detection engineer, fully loaded (below a 24/7 analyst's €270k: no shift premium).</t>
  </si>
  <si>
    <t xml:space="preserve">Monitoring and on-call</t>
  </si>
  <si>
    <t xml:space="preserve">Monitoring (critical recall dashboard, drift) + on-call + GPU hosting for inference on all alerts (~€17k).</t>
  </si>
  <si>
    <t xml:space="preserve">Model-version changes per year</t>
  </si>
  <si>
    <t xml:space="preserve">changes</t>
  </si>
  <si>
    <t xml:space="preserve">Open-weights model updated ~quarterly; each change replays the eval-set.</t>
  </si>
  <si>
    <t xml:space="preserve">Re-evaluation cost per model change</t>
  </si>
  <si>
    <t xml:space="preserve">€ / change</t>
  </si>
  <si>
    <t xml:space="preserve">Replay of the critical-oversampled eval-set + security sign-off.</t>
  </si>
  <si>
    <t xml:space="preserve">THE TWO COMPARISONS</t>
  </si>
  <si>
    <t xml:space="preserve">Do-nothing: yearly efficiency gain of the current process</t>
  </si>
  <si>
    <t xml:space="preserve">01 do-nothing: SOAR playbooks bring breaches from 81 % to ~75 % without AI; course benchmark 3–5 %/yr (S2 slides).</t>
  </si>
  <si>
    <t xml:space="preserve">Next-best project — net annual value (the hurdle)</t>
  </si>
  <si>
    <t xml:space="preserve">Next-best project: an SLA-timer rule in the SOAR — sort the queue by time-to-breach, auto-escalate at 50 % of the SLA. Fixes 01's root cause #5 ('SLA data not integrated into triage') with no model risk: ≈ 25 % of the €500k breach cost, minus ~€25k to build.</t>
  </si>
  <si>
    <t xml:space="preserve">SCENARIO PROBABILITIES</t>
  </si>
  <si>
    <t xml:space="preserve">Probability of each scenario</t>
  </si>
  <si>
    <t xml:space="preserve">p</t>
  </si>
  <si>
    <t xml:space="preserve">Heavy pessimistic weight: no real alert data yet (Kaggle proxies), private inference never run by the team, critical recall unproven.</t>
  </si>
  <si>
    <t xml:space="preserve">Check — probabilities sum to 1</t>
  </si>
  <si>
    <t xml:space="preserve">formula</t>
  </si>
  <si>
    <t xml:space="preserve">OTHER VALUE — when your agent creates value beyond the work it removes (revenue retained, penalties avoided, sales…)</t>
  </si>
  <si>
    <t xml:space="preserve">SLA penalties &amp; churn avoided on critical alerts (01: €500k/yr breach cost)</t>
  </si>
  <si>
    <t xml:space="preserve">€ / yr</t>
  </si>
  <si>
    <t xml:space="preserve">analogy → S6 A/B</t>
  </si>
  <si>
    <t xml:space="preserve">€500k/yr (01, analogy) × share avoided × yr-1 ramp. Low 15 % × 0.29 · Base 35 % × 0.475 · High 50 % × 0.575. 01's target (81 % → &lt;2 % breaches) is NOT assumed: unproven, to be measured by the S6 A/B test.</t>
  </si>
  <si>
    <t xml:space="preserve">Tail risk — expected cost of a missed critical alert (governance.md S2)</t>
  </si>
  <si>
    <t xml:space="preserve">Probability of one catastrophic miss per year caused by the ranking (low 2 % · base 1 % · high 0.5 %) × breach cost (Red Canary/Zscaler 2025: $3.7M average incident ≈ €3.4M → base 1 % × €1.5M share attributable). Priced as a mean, but it is a heavy tail: hence row 36 = 0 and the never-lower guardrail.</t>
  </si>
  <si>
    <t xml:space="preserve">Sources: list here every report, page or comparable you used (title, date, link). Analogies need a source; guesses need a test.</t>
  </si>
  <si>
    <t xml:space="preserve">• Team 01_problem_statement.md (branch ran-6, 16 Oct 2026) and its references: HiveWatch 2026 (81 % SLA breaches), Prophet Security 2025 (960 alerts/day), Expel 2026 (8–10 analysts), DVF Recruitment 2025 (salary), Gurucul 2025 / N-able 2026 (alert growth), Red Canary/Zscaler 2025 ($3.7M incident).</t>
  </si>
  <si>
    <t xml:space="preserve">• Session 2 slides (14 Oct 2026): retry 1.1–1.3, do-nothing 3–5 %/yr, staged ramp (Octopus Energy).</t>
  </si>
  <si>
    <t xml:space="preserve">• 02_sizing template 'How to fill it': P7 = time saved (copilot) + penalties avoided (Other value).</t>
  </si>
  <si>
    <t xml:space="preserve">• Vendor price for the break-even (Build or buy D22): guess €0.50 per alert triaged — AI-SOC vendors do not publish prices; to replace with a quote.</t>
  </si>
  <si>
    <t xml:space="preserve">• Every 'guess' says in column G how we will check it; the flip assumption (row 22) is tested by the S4 prototype on 200 alerts.</t>
  </si>
  <si>
    <t xml:space="preserve">02_sizing — your agent · Upside (bottom-up tree per category, year 1)</t>
  </si>
  <si>
    <t xml:space="preserve">All cells are formulas linked to Inputs (green = link to another sheet). Read each block top to bottom: it is the tree from the S2 slides, per ticket category.</t>
  </si>
  <si>
    <t xml:space="preserve">Line</t>
  </si>
  <si>
    <t xml:space="preserve">Low</t>
  </si>
  <si>
    <t xml:space="preserve">High</t>
  </si>
  <si>
    <t xml:space="preserve">How it is computed</t>
  </si>
  <si>
    <t xml:space="preserve">Year-1 adoption factor (average of the four quarters)</t>
  </si>
  <si>
    <t xml:space="preserve">→ AVERAGE(Inputs ramp Q1..Q4)</t>
  </si>
  <si>
    <t xml:space="preserve">Tickets per month in this category</t>
  </si>
  <si>
    <t xml:space="preserve">→ tickets/month × share</t>
  </si>
  <si>
    <t xml:space="preserve">Automatable tickets per month</t>
  </si>
  <si>
    <t xml:space="preserve">× automatable share</t>
  </si>
  <si>
    <t xml:space="preserve">Deflected per month at steady state (if in scope)</t>
  </si>
  <si>
    <t xml:space="preserve">× deflection realised × include flag</t>
  </si>
  <si>
    <t xml:space="preserve">Deflected in year 1, with the adoption ramp</t>
  </si>
  <si>
    <t xml:space="preserve">tickets / yr</t>
  </si>
  <si>
    <t xml:space="preserve">× 12 × year-1 adoption factor</t>
  </si>
  <si>
    <t xml:space="preserve">Gross value — human work avoided</t>
  </si>
  <si>
    <t xml:space="preserve">× fully loaded cost of a human ticket</t>
  </si>
  <si>
    <t xml:space="preserve">Expected cost of wrong answers</t>
  </si>
  <si>
    <t xml:space="preserve">deflected × error rate × cost of one wrong answer — the tail, priced</t>
  </si>
  <si>
    <t xml:space="preserve">AI handling cost (tokens, retries)</t>
  </si>
  <si>
    <t xml:space="preserve">deflected × cost per conversation × retry overhead</t>
  </si>
  <si>
    <t xml:space="preserve">Net contribution of this category</t>
  </si>
  <si>
    <t xml:space="preserve">gross − error cost − AI cost</t>
  </si>
  <si>
    <t xml:space="preserve">TOTALS — ALL CATEGORIES IN SCOPE</t>
  </si>
  <si>
    <t xml:space="preserve">Tickets deflected in year 1</t>
  </si>
  <si>
    <t xml:space="preserve">sum of the three categories</t>
  </si>
  <si>
    <t xml:space="preserve">AI handling cost</t>
  </si>
  <si>
    <t xml:space="preserve">Net variable contribution (before fixed costs)</t>
  </si>
  <si>
    <t xml:space="preserve">Share of all tickets deflected in year 1</t>
  </si>
  <si>
    <t xml:space="preserve">sanity check: the SOM in ticket terms</t>
  </si>
  <si>
    <t xml:space="preserve">02_sizing — your agent · Costs &amp; Decision</t>
  </si>
  <si>
    <t xml:space="preserve">Three scenarios → expected value → two comparisons (do-nothing, hurdle). Green = links to Upside / Inputs; black = formulas.</t>
  </si>
  <si>
    <t xml:space="preserve">VALUE</t>
  </si>
  <si>
    <t xml:space="preserve">Net variable contribution (Upside) + other value (Inputs rows 67–68)</t>
  </si>
  <si>
    <t xml:space="preserve">gross − error cost − AI cost, all categories in scope</t>
  </si>
  <si>
    <t xml:space="preserve">Integration, amortised</t>
  </si>
  <si>
    <t xml:space="preserve">one-off ÷ amortisation years</t>
  </si>
  <si>
    <t xml:space="preserve">Evaluation — eval-set and graders</t>
  </si>
  <si>
    <t xml:space="preserve">Supervision — humans in the loop</t>
  </si>
  <si>
    <t xml:space="preserve">FTE × cost per FTE</t>
  </si>
  <si>
    <t xml:space="preserve">Re-evaluation at model changes</t>
  </si>
  <si>
    <t xml:space="preserve">changes per year × cost per change</t>
  </si>
  <si>
    <t xml:space="preserve">Total fixed and semi-fixed</t>
  </si>
  <si>
    <t xml:space="preserve">NET ANNUAL VALUE AND EXPECTED VALUE</t>
  </si>
  <si>
    <t xml:space="preserve">Net annual value of the project, year 1</t>
  </si>
  <si>
    <t xml:space="preserve">net variable contribution − fixed costs</t>
  </si>
  <si>
    <t xml:space="preserve">Scenario probability</t>
  </si>
  <si>
    <t xml:space="preserve">from Inputs</t>
  </si>
  <si>
    <t xml:space="preserve">Expected value (Σ p × net value)</t>
  </si>
  <si>
    <t xml:space="preserve">the single number — but read the three above it first</t>
  </si>
  <si>
    <t xml:space="preserve">Do-nothing: value of the current process improving on its own</t>
  </si>
  <si>
    <t xml:space="preserve">efficiency gain × annual tickets × cost per ticket — not zero</t>
  </si>
  <si>
    <t xml:space="preserve">Next-best project (the hurdle)</t>
  </si>
  <si>
    <t xml:space="preserve">EV minus do-nothing</t>
  </si>
  <si>
    <t xml:space="preserve">EV minus hurdle</t>
  </si>
  <si>
    <t xml:space="preserve">Pessimistic case clears the hurdle?</t>
  </si>
  <si>
    <t xml:space="preserve">Decision (formula — you still write the memo)</t>
  </si>
  <si>
    <t xml:space="preserve">SENSITIVITY — the assumption that flips the decision</t>
  </si>
  <si>
    <t xml:space="preserve">Base case, varying only the deflection realised on category 1 (row 22 of Inputs). Everything else at Base.</t>
  </si>
  <si>
    <t xml:space="preserve">Deflection on “How do I…”</t>
  </si>
  <si>
    <t xml:space="preserve">Net annual value</t>
  </si>
  <si>
    <t xml:space="preserve">vs hurdle</t>
  </si>
  <si>
    <t xml:space="preserve">vs do-nothing</t>
  </si>
  <si>
    <t xml:space="preserve">Reading</t>
  </si>
  <si>
    <t xml:space="preserve">Read down the table: the deflection rate at which the reading changes is your flip point. Name it in the memo — it is the number your S4 prototype must measure.</t>
  </si>
  <si>
    <t xml:space="preserve">02_sizing — your agent · Build, buy or orchestrate?</t>
  </si>
  <si>
    <t xml:space="preserve"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</si>
  <si>
    <t xml:space="preserve">#</t>
  </si>
  <si>
    <t xml:space="preserve">Question</t>
  </si>
  <si>
    <t xml:space="preserve">Weight</t>
  </si>
  <si>
    <t xml:space="preserve">Build</t>
  </si>
  <si>
    <t xml:space="preserve">Buy</t>
  </si>
  <si>
    <t xml:space="preserve">Orchestrate</t>
  </si>
  <si>
    <t xml:space="preserve">Why — one line per score that is not obvious</t>
  </si>
  <si>
    <t xml:space="preserve">01</t>
  </si>
  <si>
    <t xml:space="preserve">Strategy — Is it our edge? Would a competitor buying the same tool erase our advantage?</t>
  </si>
  <si>
    <t xml:space="preserve">Ranking learned on OUR alerts + customers' SLA contracts is the edge; an AI-SOC vendor gives every competitor the same.</t>
  </si>
  <si>
    <t xml:space="preserve">02</t>
  </si>
  <si>
    <t xml:space="preserve">Strategy — Do we own data or know-how that no vendor has?</t>
  </si>
  <si>
    <t xml:space="preserve">SLA contracts per customer + resolved-alert history = data no vendor has.</t>
  </si>
  <si>
    <t xml:space="preserve">03</t>
  </si>
  <si>
    <t xml:space="preserve">Fit &amp; speed — Does a product already do 80 % of the job — our languages, channels, integrations?</t>
  </si>
  <si>
    <t xml:space="preserve">AI-SOC triage products exist (enrichment, ranking) — but not SLA-contract-aware.</t>
  </si>
  <si>
    <t xml:space="preserve">04</t>
  </si>
  <si>
    <t xml:space="preserve">Fit &amp; speed — Must it be live in weeks, or can it take quarters?</t>
  </si>
  <si>
    <t xml:space="preserve">Buy is fastest; orchestration on open-weights + our SOAR in one quarter.</t>
  </si>
  <si>
    <t xml:space="preserve">05</t>
  </si>
  <si>
    <t xml:space="preserve">Fit &amp; speed — Do we have the people to build it and to run it — evals, on-call, re-evaluation?</t>
  </si>
  <si>
    <t xml:space="preserve">10 analysts, no ML team: build needs people we do not have.</t>
  </si>
  <si>
    <t xml:space="preserve">06</t>
  </si>
  <si>
    <t xml:space="preserve">Money — 3-year total cost: fees per resolution or per seat vs the seven cost lines of a build</t>
  </si>
  <si>
    <t xml:space="preserve">3-yr: orchestration avoids per-alert fees and a full in-house model.</t>
  </si>
  <si>
    <t xml:space="preserve">07</t>
  </si>
  <si>
    <t xml:space="preserve">Money — At what volume does per-resolution pricing cost more than building? (break-even below)</t>
  </si>
  <si>
    <t xml:space="preserve">See break-even below.</t>
  </si>
  <si>
    <t xml:space="preserve">08</t>
  </si>
  <si>
    <t xml:space="preserve">Risk &amp; control — Where does our data go — GDPR, residency, may the vendor train on it?</t>
  </si>
  <si>
    <t xml:space="preserve">Logs cannot leave our perimeter: SaaS AI-SOC tools that send alerts to a third-party API are a deal-breaker for our customers.</t>
  </si>
  <si>
    <t xml:space="preserve">09</t>
  </si>
  <si>
    <t xml:space="preserve">Risk &amp; control — Can we leave — exit clause, export of data, prompts and eval-sets?</t>
  </si>
  <si>
    <t xml:space="preserve">We keep prompts, eval-sets and ranking rules; lock-in on buy.</t>
  </si>
  <si>
    <t xml:space="preserve">10</t>
  </si>
  <si>
    <t xml:space="preserve">Risk &amp; control — Who is liable when it is wrong, and can we see why it answered — logs, evals?</t>
  </si>
  <si>
    <t xml:space="preserve">We must show WHY an alert got its rank (audit, CISO) — our logs and evals, not a vendor black box.</t>
  </si>
  <si>
    <t xml:space="preserve">Weights must sum to 100 %</t>
  </si>
  <si>
    <t xml:space="preserve">Weighted score (1–5)</t>
  </si>
  <si>
    <t xml:space="preserve">Highest weighted score</t>
  </si>
  <si>
    <t xml:space="preserve">The score informs the decision; the memo makes it. If two options are within 0.3, say which condition would decide.</t>
  </si>
  <si>
    <t xml:space="preserve">BREAK-EVEN — buying per resolution vs running it yourself (base case, rough)</t>
  </si>
  <si>
    <t xml:space="preserve">Vendor price per resolution</t>
  </si>
  <si>
    <t xml:space="preserve">€ / resolution</t>
  </si>
  <si>
    <t xml:space="preserve">guess — AI-SOC vendors do not publish per-alert prices; replace with a quote</t>
  </si>
  <si>
    <t xml:space="preserve">Tickets deflected in year 1 (base)</t>
  </si>
  <si>
    <t xml:space="preserve">from Upside</t>
  </si>
  <si>
    <t xml:space="preserve">Annual vendor fees</t>
  </si>
  <si>
    <t xml:space="preserve">price × resolutions</t>
  </si>
  <si>
    <t xml:space="preserve">Your own AI handling cost (tokens, retries)</t>
  </si>
  <si>
    <t xml:space="preserve">Integration (amortised) + evaluation + re-evaluation</t>
  </si>
  <si>
    <t xml:space="preserve">from Decision — the build-specific fixed lines</t>
  </si>
  <si>
    <t xml:space="preserve">Running it yourself — comparable cost</t>
  </si>
  <si>
    <t xml:space="preserve">supervision and monitoring stay in both options, so they are left out</t>
  </si>
  <si>
    <t xml:space="preserve">Buying is cheaper by</t>
  </si>
  <si>
    <t xml:space="preserve">negative = running it yourself is cheaper at this volume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</si>
</sst>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€#,##0.00;&quot;(€&quot;#,##0.00\);\-"/>
    <numFmt numFmtId="167" formatCode="0.0"/>
    <numFmt numFmtId="168" formatCode="0.0%;\(0.0%\);\-"/>
    <numFmt numFmtId="169" formatCode="\€#,##0;&quot;(€&quot;#,##0\);\-"/>
    <numFmt numFmtId="170" formatCode="#,##0.00;\(#,##0.00\);\-"/>
    <numFmt numFmtId="171" formatCode="0%"/>
    <numFmt numFmtId="172" formatCode="\€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2448"/>
      <name val="Arial"/>
      <family val="0"/>
      <charset val="1"/>
    </font>
    <font>
      <b val="true"/>
      <sz val="12"/>
      <color rgb="FF035CA0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02448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20244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35CA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35CA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1"/>
      <color rgb="FF2EAEE0"/>
      <name val="Arial"/>
      <family val="0"/>
      <charset val="1"/>
    </font>
    <font>
      <sz val="11"/>
      <color rgb="FF202448"/>
      <name val="Arial"/>
      <family val="0"/>
      <charset val="1"/>
    </font>
    <font>
      <sz val="11"/>
      <color rgb="FF6B728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2448"/>
        <bgColor rgb="FF1F2937"/>
      </patternFill>
    </fill>
    <fill>
      <patternFill patternType="solid">
        <fgColor rgb="FFF5F7FB"/>
        <bgColor rgb="FFFFFFFF"/>
      </patternFill>
    </fill>
    <fill>
      <patternFill patternType="solid">
        <fgColor rgb="FFFFF2CC"/>
        <bgColor rgb="FFF5F7FB"/>
      </patternFill>
    </fill>
    <fill>
      <patternFill patternType="solid">
        <fgColor rgb="FFEAEFF6"/>
        <bgColor rgb="FFF5F7F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EFF6"/>
      <rgbColor rgb="FF660066"/>
      <rgbColor rgb="FFFF8080"/>
      <rgbColor rgb="FF035CA0"/>
      <rgbColor rgb="FFD5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B"/>
      <rgbColor rgb="FFCCFFCC"/>
      <rgbColor rgb="FFFFFF99"/>
      <rgbColor rgb="FF99CCFF"/>
      <rgbColor rgb="FFFF99CC"/>
      <rgbColor rgb="FFCC99FF"/>
      <rgbColor rgb="FFFFCC99"/>
      <rgbColor rgb="FF3366FF"/>
      <rgbColor rgb="FF2EAEE0"/>
      <rgbColor rgb="FF99CC00"/>
      <rgbColor rgb="FFFFCC00"/>
      <rgbColor rgb="FFFF9900"/>
      <rgbColor rgb="FFFF6600"/>
      <rgbColor rgb="FF6B7280"/>
      <rgbColor rgb="FF969696"/>
      <rgbColor rgb="FF202448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5" min="4" style="1" width="62"/>
  </cols>
  <sheetData>
    <row r="2" customFormat="false" ht="24" hidden="false" customHeight="true" outlineLevel="0" collapsed="false">
      <c r="B2" s="2" t="s">
        <v>0</v>
      </c>
      <c r="C2" s="2"/>
      <c r="D2" s="2"/>
      <c r="E2" s="2"/>
    </row>
    <row r="4" customFormat="false" ht="15" hidden="false" customHeight="true" outlineLevel="0" collapsed="false">
      <c r="B4" s="3" t="s">
        <v>1</v>
      </c>
      <c r="C4" s="3"/>
      <c r="D4" s="3"/>
      <c r="E4" s="3"/>
    </row>
    <row r="5" customFormat="false" ht="48" hidden="false" customHeight="true" outlineLevel="0" collapsed="false">
      <c r="B5" s="4" t="s">
        <v>2</v>
      </c>
      <c r="C5" s="4"/>
      <c r="D5" s="4"/>
      <c r="E5" s="4"/>
    </row>
    <row r="7" customFormat="false" ht="15" hidden="false" customHeight="true" outlineLevel="0" collapsed="false">
      <c r="B7" s="3" t="s">
        <v>3</v>
      </c>
      <c r="C7" s="3"/>
      <c r="D7" s="3"/>
      <c r="E7" s="3"/>
    </row>
    <row r="8" customFormat="false" ht="48" hidden="false" customHeight="true" outlineLevel="0" collapsed="false">
      <c r="B8" s="4" t="s">
        <v>4</v>
      </c>
      <c r="C8" s="4"/>
      <c r="D8" s="4"/>
      <c r="E8" s="4"/>
    </row>
    <row r="10" customFormat="false" ht="15" hidden="false" customHeight="true" outlineLevel="0" collapsed="false">
      <c r="B10" s="3" t="s">
        <v>5</v>
      </c>
      <c r="C10" s="3"/>
      <c r="D10" s="3"/>
      <c r="E10" s="3"/>
    </row>
    <row r="11" customFormat="false" ht="48" hidden="false" customHeight="true" outlineLevel="0" collapsed="false">
      <c r="B11" s="4" t="s">
        <v>6</v>
      </c>
      <c r="C11" s="4"/>
      <c r="D11" s="4"/>
      <c r="E11" s="4"/>
    </row>
    <row r="13" customFormat="false" ht="15" hidden="false" customHeight="true" outlineLevel="0" collapsed="false">
      <c r="B13" s="3" t="s">
        <v>7</v>
      </c>
      <c r="C13" s="3"/>
      <c r="D13" s="3"/>
      <c r="E13" s="3"/>
    </row>
    <row r="14" customFormat="false" ht="15" hidden="false" customHeight="true" outlineLevel="0" collapsed="false">
      <c r="B14" s="5" t="s">
        <v>8</v>
      </c>
      <c r="C14" s="5" t="s">
        <v>9</v>
      </c>
      <c r="D14" s="5" t="s">
        <v>10</v>
      </c>
      <c r="E14" s="5" t="s">
        <v>11</v>
      </c>
    </row>
    <row r="15" customFormat="false" ht="33.75" hidden="false" customHeight="true" outlineLevel="0" collapsed="false">
      <c r="B15" s="6" t="s">
        <v>12</v>
      </c>
      <c r="C15" s="7" t="s">
        <v>13</v>
      </c>
      <c r="D15" s="7" t="s">
        <v>14</v>
      </c>
      <c r="E15" s="7" t="s">
        <v>15</v>
      </c>
    </row>
    <row r="16" customFormat="false" ht="60" hidden="false" customHeight="true" outlineLevel="0" collapsed="false">
      <c r="B16" s="8" t="s">
        <v>16</v>
      </c>
      <c r="C16" s="9" t="s">
        <v>17</v>
      </c>
      <c r="D16" s="9" t="s">
        <v>18</v>
      </c>
      <c r="E16" s="9" t="s">
        <v>19</v>
      </c>
    </row>
    <row r="17" customFormat="false" ht="33.75" hidden="false" customHeight="true" outlineLevel="0" collapsed="false">
      <c r="B17" s="6" t="s">
        <v>20</v>
      </c>
      <c r="C17" s="7" t="s">
        <v>21</v>
      </c>
      <c r="D17" s="7" t="s">
        <v>22</v>
      </c>
      <c r="E17" s="7" t="s">
        <v>23</v>
      </c>
    </row>
    <row r="18" customFormat="false" ht="33.75" hidden="false" customHeight="true" outlineLevel="0" collapsed="false">
      <c r="B18" s="8" t="s">
        <v>24</v>
      </c>
      <c r="C18" s="9" t="s">
        <v>25</v>
      </c>
      <c r="D18" s="9" t="s">
        <v>26</v>
      </c>
      <c r="E18" s="9" t="s">
        <v>27</v>
      </c>
    </row>
    <row r="19" customFormat="false" ht="45.75" hidden="false" customHeight="true" outlineLevel="0" collapsed="false">
      <c r="B19" s="6" t="s">
        <v>28</v>
      </c>
      <c r="C19" s="7" t="s">
        <v>29</v>
      </c>
      <c r="D19" s="7" t="s">
        <v>30</v>
      </c>
      <c r="E19" s="7" t="s">
        <v>31</v>
      </c>
    </row>
    <row r="20" customFormat="false" ht="30" hidden="false" customHeight="true" outlineLevel="0" collapsed="false">
      <c r="B20" s="8" t="s">
        <v>32</v>
      </c>
      <c r="C20" s="9" t="s">
        <v>33</v>
      </c>
      <c r="D20" s="9" t="s">
        <v>34</v>
      </c>
      <c r="E20" s="9" t="s">
        <v>35</v>
      </c>
    </row>
    <row r="21" customFormat="false" ht="33.75" hidden="false" customHeight="true" outlineLevel="0" collapsed="false">
      <c r="B21" s="6" t="s">
        <v>36</v>
      </c>
      <c r="C21" s="7" t="s">
        <v>37</v>
      </c>
      <c r="D21" s="7" t="s">
        <v>38</v>
      </c>
      <c r="E21" s="7" t="s">
        <v>39</v>
      </c>
    </row>
    <row r="22" customFormat="false" ht="30" hidden="false" customHeight="true" outlineLevel="0" collapsed="false">
      <c r="B22" s="8" t="s">
        <v>40</v>
      </c>
      <c r="C22" s="9" t="s">
        <v>41</v>
      </c>
      <c r="D22" s="9" t="s">
        <v>42</v>
      </c>
      <c r="E22" s="9" t="s">
        <v>43</v>
      </c>
    </row>
    <row r="23" customFormat="false" ht="33.75" hidden="false" customHeight="true" outlineLevel="0" collapsed="false">
      <c r="B23" s="6" t="s">
        <v>44</v>
      </c>
      <c r="C23" s="7" t="s">
        <v>45</v>
      </c>
      <c r="D23" s="7" t="s">
        <v>46</v>
      </c>
      <c r="E23" s="7" t="s">
        <v>47</v>
      </c>
    </row>
    <row r="24" customFormat="false" ht="45.75" hidden="false" customHeight="true" outlineLevel="0" collapsed="false">
      <c r="B24" s="8" t="s">
        <v>48</v>
      </c>
      <c r="C24" s="9" t="s">
        <v>49</v>
      </c>
      <c r="D24" s="9" t="s">
        <v>50</v>
      </c>
      <c r="E24" s="9" t="s">
        <v>51</v>
      </c>
    </row>
    <row r="25" customFormat="false" ht="30" hidden="false" customHeight="true" outlineLevel="0" collapsed="false">
      <c r="B25" s="6" t="s">
        <v>52</v>
      </c>
      <c r="C25" s="7" t="s">
        <v>53</v>
      </c>
      <c r="D25" s="7" t="s">
        <v>54</v>
      </c>
      <c r="E25" s="7" t="s">
        <v>55</v>
      </c>
    </row>
    <row r="26" customFormat="false" ht="45.75" hidden="false" customHeight="true" outlineLevel="0" collapsed="false">
      <c r="B26" s="8" t="s">
        <v>56</v>
      </c>
      <c r="C26" s="9" t="s">
        <v>57</v>
      </c>
      <c r="D26" s="9" t="s">
        <v>58</v>
      </c>
      <c r="E26" s="9" t="s">
        <v>59</v>
      </c>
    </row>
    <row r="27" customFormat="false" ht="45.75" hidden="false" customHeight="true" outlineLevel="0" collapsed="false">
      <c r="B27" s="6" t="s">
        <v>60</v>
      </c>
      <c r="C27" s="7" t="s">
        <v>61</v>
      </c>
      <c r="D27" s="7" t="s">
        <v>62</v>
      </c>
      <c r="E27" s="7" t="s">
        <v>63</v>
      </c>
    </row>
    <row r="28" customFormat="false" ht="30" hidden="false" customHeight="true" outlineLevel="0" collapsed="false">
      <c r="B28" s="8" t="s">
        <v>64</v>
      </c>
      <c r="C28" s="9" t="s">
        <v>65</v>
      </c>
      <c r="D28" s="9" t="s">
        <v>66</v>
      </c>
      <c r="E28" s="9" t="s">
        <v>67</v>
      </c>
    </row>
    <row r="30" customFormat="false" ht="15" hidden="false" customHeight="true" outlineLevel="0" collapsed="false">
      <c r="B30" s="3" t="s">
        <v>68</v>
      </c>
      <c r="C30" s="3"/>
      <c r="D30" s="3"/>
      <c r="E30" s="3"/>
    </row>
    <row r="31" customFormat="false" ht="15" hidden="false" customHeight="true" outlineLevel="0" collapsed="false">
      <c r="B31" s="5" t="s">
        <v>69</v>
      </c>
      <c r="C31" s="5" t="s">
        <v>70</v>
      </c>
      <c r="D31" s="5" t="s">
        <v>71</v>
      </c>
      <c r="E31" s="5" t="s">
        <v>72</v>
      </c>
    </row>
    <row r="32" customFormat="false" ht="60" hidden="false" customHeight="true" outlineLevel="0" collapsed="false">
      <c r="B32" s="6" t="s">
        <v>73</v>
      </c>
      <c r="C32" s="7" t="s">
        <v>74</v>
      </c>
      <c r="D32" s="7" t="s">
        <v>75</v>
      </c>
      <c r="E32" s="7" t="s">
        <v>76</v>
      </c>
    </row>
    <row r="33" customFormat="false" ht="60" hidden="false" customHeight="true" outlineLevel="0" collapsed="false">
      <c r="B33" s="8" t="s">
        <v>77</v>
      </c>
      <c r="C33" s="9" t="s">
        <v>78</v>
      </c>
      <c r="D33" s="9" t="s">
        <v>79</v>
      </c>
      <c r="E33" s="9" t="s">
        <v>80</v>
      </c>
    </row>
    <row r="34" customFormat="false" ht="60" hidden="false" customHeight="true" outlineLevel="0" collapsed="false">
      <c r="B34" s="6" t="s">
        <v>81</v>
      </c>
      <c r="C34" s="7" t="s">
        <v>82</v>
      </c>
      <c r="D34" s="7" t="s">
        <v>83</v>
      </c>
      <c r="E34" s="7" t="s">
        <v>84</v>
      </c>
    </row>
    <row r="35" customFormat="false" ht="60" hidden="false" customHeight="true" outlineLevel="0" collapsed="false">
      <c r="B35" s="8" t="s">
        <v>85</v>
      </c>
      <c r="C35" s="9" t="s">
        <v>86</v>
      </c>
      <c r="D35" s="9" t="s">
        <v>87</v>
      </c>
      <c r="E35" s="9" t="s">
        <v>88</v>
      </c>
    </row>
    <row r="36" customFormat="false" ht="60" hidden="false" customHeight="true" outlineLevel="0" collapsed="false">
      <c r="B36" s="6" t="s">
        <v>89</v>
      </c>
      <c r="C36" s="7" t="s">
        <v>90</v>
      </c>
      <c r="D36" s="7" t="s">
        <v>91</v>
      </c>
      <c r="E36" s="7" t="s">
        <v>92</v>
      </c>
    </row>
    <row r="37" customFormat="false" ht="60" hidden="false" customHeight="true" outlineLevel="0" collapsed="false">
      <c r="B37" s="8" t="s">
        <v>93</v>
      </c>
      <c r="C37" s="9" t="s">
        <v>94</v>
      </c>
      <c r="D37" s="9" t="s">
        <v>95</v>
      </c>
      <c r="E37" s="9" t="s">
        <v>96</v>
      </c>
    </row>
    <row r="38" customFormat="false" ht="60" hidden="false" customHeight="true" outlineLevel="0" collapsed="false">
      <c r="B38" s="6" t="s">
        <v>97</v>
      </c>
      <c r="C38" s="7" t="s">
        <v>98</v>
      </c>
      <c r="D38" s="7" t="s">
        <v>99</v>
      </c>
      <c r="E38" s="7" t="s">
        <v>100</v>
      </c>
    </row>
    <row r="39" customFormat="false" ht="60" hidden="false" customHeight="true" outlineLevel="0" collapsed="false">
      <c r="B39" s="8" t="s">
        <v>101</v>
      </c>
      <c r="C39" s="9" t="s">
        <v>102</v>
      </c>
      <c r="D39" s="9" t="s">
        <v>103</v>
      </c>
      <c r="E39" s="9" t="s">
        <v>104</v>
      </c>
    </row>
    <row r="40" customFormat="false" ht="60" hidden="false" customHeight="true" outlineLevel="0" collapsed="false">
      <c r="B40" s="6" t="s">
        <v>105</v>
      </c>
      <c r="C40" s="7" t="s">
        <v>106</v>
      </c>
      <c r="D40" s="7" t="s">
        <v>107</v>
      </c>
      <c r="E40" s="7" t="s">
        <v>108</v>
      </c>
    </row>
    <row r="42" customFormat="false" ht="15" hidden="false" customHeight="true" outlineLevel="0" collapsed="false">
      <c r="B42" s="3" t="s">
        <v>109</v>
      </c>
      <c r="C42" s="3"/>
      <c r="D42" s="3"/>
      <c r="E42" s="3"/>
    </row>
    <row r="43" customFormat="false" ht="33.75" hidden="false" customHeight="true" outlineLevel="0" collapsed="false">
      <c r="B43" s="4" t="s">
        <v>110</v>
      </c>
      <c r="C43" s="4"/>
      <c r="D43" s="4"/>
      <c r="E43" s="4"/>
    </row>
    <row r="44" customFormat="false" ht="15" hidden="false" customHeight="true" outlineLevel="0" collapsed="false">
      <c r="B44" s="5" t="s">
        <v>72</v>
      </c>
      <c r="C44" s="5" t="s">
        <v>111</v>
      </c>
      <c r="D44" s="5" t="s">
        <v>112</v>
      </c>
      <c r="E44" s="5" t="s">
        <v>113</v>
      </c>
    </row>
    <row r="45" customFormat="false" ht="48" hidden="false" customHeight="true" outlineLevel="0" collapsed="false">
      <c r="B45" s="6" t="s">
        <v>114</v>
      </c>
      <c r="C45" s="7" t="s">
        <v>115</v>
      </c>
      <c r="D45" s="7" t="s">
        <v>116</v>
      </c>
      <c r="E45" s="7" t="s">
        <v>117</v>
      </c>
    </row>
    <row r="46" customFormat="false" ht="48" hidden="false" customHeight="true" outlineLevel="0" collapsed="false">
      <c r="B46" s="8" t="s">
        <v>80</v>
      </c>
      <c r="C46" s="9" t="s">
        <v>118</v>
      </c>
      <c r="D46" s="9" t="s">
        <v>119</v>
      </c>
      <c r="E46" s="9" t="s">
        <v>120</v>
      </c>
    </row>
    <row r="47" customFormat="false" ht="48" hidden="false" customHeight="true" outlineLevel="0" collapsed="false">
      <c r="B47" s="6" t="s">
        <v>121</v>
      </c>
      <c r="C47" s="7" t="s">
        <v>122</v>
      </c>
      <c r="D47" s="7" t="s">
        <v>123</v>
      </c>
      <c r="E47" s="7" t="s">
        <v>124</v>
      </c>
    </row>
    <row r="48" customFormat="false" ht="48" hidden="false" customHeight="true" outlineLevel="0" collapsed="false">
      <c r="B48" s="8" t="s">
        <v>125</v>
      </c>
      <c r="C48" s="9" t="s">
        <v>126</v>
      </c>
      <c r="D48" s="9" t="s">
        <v>127</v>
      </c>
      <c r="E48" s="9" t="s">
        <v>128</v>
      </c>
    </row>
    <row r="49" customFormat="false" ht="48" hidden="false" customHeight="true" outlineLevel="0" collapsed="false">
      <c r="B49" s="6" t="s">
        <v>129</v>
      </c>
      <c r="C49" s="7" t="s">
        <v>130</v>
      </c>
      <c r="D49" s="7" t="s">
        <v>131</v>
      </c>
      <c r="E49" s="7" t="s">
        <v>132</v>
      </c>
    </row>
    <row r="51" customFormat="false" ht="15" hidden="false" customHeight="true" outlineLevel="0" collapsed="false">
      <c r="B51" s="10" t="s">
        <v>133</v>
      </c>
      <c r="C51" s="10"/>
      <c r="D51" s="10"/>
      <c r="E51" s="10"/>
    </row>
  </sheetData>
  <mergeCells count="12">
    <mergeCell ref="B2:E2"/>
    <mergeCell ref="B4:E4"/>
    <mergeCell ref="B5:E5"/>
    <mergeCell ref="B7:E7"/>
    <mergeCell ref="B8:E8"/>
    <mergeCell ref="B10:E10"/>
    <mergeCell ref="B11:E11"/>
    <mergeCell ref="B13:E13"/>
    <mergeCell ref="B30:E30"/>
    <mergeCell ref="B42:E42"/>
    <mergeCell ref="B43:E43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5" min="3" style="1" width="13"/>
    <col collapsed="false" customWidth="true" hidden="false" outlineLevel="0" max="6" min="6" style="1" width="16"/>
    <col collapsed="false" customWidth="true" hidden="false" outlineLevel="0" max="7" min="7" style="1" width="70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11" t="s">
        <v>134</v>
      </c>
    </row>
    <row r="2" customFormat="false" ht="30" hidden="false" customHeight="true" outlineLevel="0" collapsed="false">
      <c r="A2" s="12" t="s">
        <v>135</v>
      </c>
      <c r="B2" s="12"/>
      <c r="C2" s="12"/>
      <c r="D2" s="12"/>
      <c r="E2" s="12"/>
      <c r="F2" s="12"/>
      <c r="G2" s="12"/>
    </row>
    <row r="4" customFormat="false" ht="27.75" hidden="false" customHeight="true" outlineLevel="0" collapsed="false">
      <c r="A4" s="13" t="s">
        <v>136</v>
      </c>
      <c r="B4" s="13" t="s">
        <v>137</v>
      </c>
      <c r="C4" s="13" t="s">
        <v>138</v>
      </c>
      <c r="D4" s="13" t="s">
        <v>139</v>
      </c>
      <c r="E4" s="13" t="s">
        <v>140</v>
      </c>
      <c r="F4" s="13" t="s">
        <v>141</v>
      </c>
      <c r="G4" s="13" t="s">
        <v>142</v>
      </c>
      <c r="H4" s="14" t="s">
        <v>143</v>
      </c>
    </row>
    <row r="5" customFormat="false" ht="15" hidden="false" customHeight="true" outlineLevel="0" collapsed="false">
      <c r="A5" s="15" t="s">
        <v>144</v>
      </c>
    </row>
    <row r="6" customFormat="false" ht="15" hidden="false" customHeight="true" outlineLevel="0" collapsed="false">
      <c r="A6" s="16" t="s">
        <v>145</v>
      </c>
      <c r="B6" s="16" t="s">
        <v>146</v>
      </c>
      <c r="C6" s="17" t="n">
        <v>20000</v>
      </c>
      <c r="D6" s="17" t="n">
        <v>28800</v>
      </c>
      <c r="E6" s="17" t="n">
        <v>34560</v>
      </c>
      <c r="F6" s="18" t="s">
        <v>147</v>
      </c>
      <c r="G6" s="19" t="s">
        <v>148</v>
      </c>
      <c r="H6" s="20" t="n">
        <v>40000</v>
      </c>
    </row>
    <row r="7" customFormat="false" ht="15" hidden="false" customHeight="true" outlineLevel="0" collapsed="false">
      <c r="A7" s="16" t="s">
        <v>149</v>
      </c>
      <c r="B7" s="16" t="s">
        <v>150</v>
      </c>
      <c r="C7" s="17" t="n">
        <v>10</v>
      </c>
      <c r="D7" s="17" t="n">
        <v>10</v>
      </c>
      <c r="E7" s="17" t="n">
        <v>10</v>
      </c>
      <c r="F7" s="18" t="s">
        <v>147</v>
      </c>
      <c r="G7" s="19" t="s">
        <v>151</v>
      </c>
      <c r="H7" s="20" t="n">
        <v>60</v>
      </c>
    </row>
    <row r="8" customFormat="false" ht="21.75" hidden="false" customHeight="true" outlineLevel="0" collapsed="false">
      <c r="A8" s="16" t="s">
        <v>152</v>
      </c>
      <c r="B8" s="16" t="s">
        <v>153</v>
      </c>
      <c r="C8" s="17" t="n">
        <v>300000</v>
      </c>
      <c r="D8" s="17" t="n">
        <v>270000</v>
      </c>
      <c r="E8" s="17" t="n">
        <v>225000</v>
      </c>
      <c r="F8" s="18" t="s">
        <v>154</v>
      </c>
      <c r="G8" s="19" t="s">
        <v>155</v>
      </c>
      <c r="H8" s="20" t="n">
        <v>45000</v>
      </c>
    </row>
    <row r="9" customFormat="false" ht="21.75" hidden="false" customHeight="true" outlineLevel="0" collapsed="false">
      <c r="A9" s="21" t="s">
        <v>156</v>
      </c>
      <c r="B9" s="16" t="s">
        <v>157</v>
      </c>
      <c r="C9" s="22" t="n">
        <v>6</v>
      </c>
      <c r="D9" s="22" t="n">
        <v>8</v>
      </c>
      <c r="E9" s="22" t="n">
        <v>10</v>
      </c>
      <c r="F9" s="18" t="s">
        <v>154</v>
      </c>
      <c r="G9" s="19" t="s">
        <v>158</v>
      </c>
      <c r="H9" s="23" t="n">
        <v>10</v>
      </c>
    </row>
    <row r="10" customFormat="false" ht="15" hidden="false" customHeight="true" outlineLevel="0" collapsed="false">
      <c r="A10" s="16" t="s">
        <v>159</v>
      </c>
      <c r="B10" s="1" t="s">
        <v>157</v>
      </c>
      <c r="C10" s="24"/>
      <c r="D10" s="24" t="n">
        <f aca="false">IFERROR(D7*D8/(D6*12),"")</f>
        <v>7.8125</v>
      </c>
      <c r="E10" s="24"/>
      <c r="G10" s="25" t="s">
        <v>160</v>
      </c>
    </row>
    <row r="11" customFormat="false" ht="15" hidden="false" customHeight="true" outlineLevel="0" collapsed="false">
      <c r="A11" s="16" t="s">
        <v>161</v>
      </c>
      <c r="B11" s="1" t="s">
        <v>146</v>
      </c>
      <c r="D11" s="26" t="n">
        <f aca="false">IFERROR(D6/D7/21,"")</f>
        <v>137.142857142857</v>
      </c>
      <c r="G11" s="25" t="s">
        <v>162</v>
      </c>
    </row>
    <row r="12" customFormat="false" ht="15" hidden="false" customHeight="true" outlineLevel="0" collapsed="false">
      <c r="A12" s="15" t="s">
        <v>163</v>
      </c>
    </row>
    <row r="13" customFormat="false" ht="15" hidden="false" customHeight="true" outlineLevel="0" collapsed="false">
      <c r="A13" s="21" t="s">
        <v>164</v>
      </c>
    </row>
    <row r="14" customFormat="false" ht="15" hidden="false" customHeight="true" outlineLevel="0" collapsed="false">
      <c r="A14" s="27" t="s">
        <v>165</v>
      </c>
      <c r="B14" s="16" t="s">
        <v>166</v>
      </c>
      <c r="C14" s="28" t="n">
        <v>0.6</v>
      </c>
      <c r="D14" s="28" t="n">
        <v>0.6</v>
      </c>
      <c r="E14" s="28" t="n">
        <v>0.6</v>
      </c>
      <c r="F14" s="18" t="s">
        <v>154</v>
      </c>
      <c r="G14" s="19" t="s">
        <v>167</v>
      </c>
      <c r="H14" s="29" t="n">
        <v>0.55</v>
      </c>
    </row>
    <row r="15" customFormat="false" ht="15" hidden="false" customHeight="true" outlineLevel="0" collapsed="false">
      <c r="A15" s="27" t="s">
        <v>168</v>
      </c>
      <c r="B15" s="16" t="s">
        <v>166</v>
      </c>
      <c r="C15" s="28" t="n">
        <v>0.35</v>
      </c>
      <c r="D15" s="28" t="n">
        <v>0.35</v>
      </c>
      <c r="E15" s="28" t="n">
        <v>0.35</v>
      </c>
      <c r="F15" s="18" t="s">
        <v>169</v>
      </c>
      <c r="G15" s="19" t="s">
        <v>170</v>
      </c>
      <c r="H15" s="29" t="n">
        <v>0.3</v>
      </c>
    </row>
    <row r="16" customFormat="false" ht="15" hidden="false" customHeight="true" outlineLevel="0" collapsed="false">
      <c r="A16" s="27" t="s">
        <v>171</v>
      </c>
      <c r="B16" s="16" t="s">
        <v>166</v>
      </c>
      <c r="C16" s="28" t="n">
        <v>0.05</v>
      </c>
      <c r="D16" s="28" t="n">
        <v>0.05</v>
      </c>
      <c r="E16" s="28" t="n">
        <v>0.05</v>
      </c>
      <c r="F16" s="18" t="s">
        <v>169</v>
      </c>
      <c r="G16" s="19" t="s">
        <v>172</v>
      </c>
      <c r="H16" s="29" t="n">
        <v>0.15</v>
      </c>
    </row>
    <row r="17" customFormat="false" ht="15" hidden="false" customHeight="true" outlineLevel="0" collapsed="false">
      <c r="A17" s="21" t="s">
        <v>173</v>
      </c>
    </row>
    <row r="18" customFormat="false" ht="15" hidden="false" customHeight="true" outlineLevel="0" collapsed="false">
      <c r="A18" s="16" t="str">
        <f aca="false">"   "&amp;TRIM($A$14)</f>
        <v>   Low-severity &amp; false-positive alerts (noise)</v>
      </c>
      <c r="B18" s="16" t="s">
        <v>166</v>
      </c>
      <c r="C18" s="28" t="n">
        <v>0.6</v>
      </c>
      <c r="D18" s="28" t="n">
        <v>0.7</v>
      </c>
      <c r="E18" s="28" t="n">
        <v>0.8</v>
      </c>
      <c r="F18" s="18" t="s">
        <v>169</v>
      </c>
      <c r="G18" s="19" t="s">
        <v>174</v>
      </c>
      <c r="H18" s="29" t="n">
        <v>0.68</v>
      </c>
    </row>
    <row r="19" customFormat="false" ht="15" hidden="false" customHeight="true" outlineLevel="0" collapsed="false">
      <c r="A19" s="16" t="str">
        <f aca="false">"   "&amp;TRIM($A$15)</f>
        <v>   Medium / high alerts needing investigation</v>
      </c>
      <c r="B19" s="16" t="s">
        <v>166</v>
      </c>
      <c r="C19" s="28" t="n">
        <v>0.4</v>
      </c>
      <c r="D19" s="28" t="n">
        <v>0.5</v>
      </c>
      <c r="E19" s="28" t="n">
        <v>0.6</v>
      </c>
      <c r="F19" s="18" t="s">
        <v>169</v>
      </c>
      <c r="G19" s="19" t="s">
        <v>175</v>
      </c>
      <c r="H19" s="29" t="n">
        <v>0.15</v>
      </c>
    </row>
    <row r="20" customFormat="false" ht="15" hidden="false" customHeight="true" outlineLevel="0" collapsed="false">
      <c r="A20" s="16" t="str">
        <f aca="false">"   "&amp;TRIM($A$16)</f>
        <v>   Critical alerts (SLA ≤ 1–3 h)</v>
      </c>
      <c r="B20" s="16" t="s">
        <v>166</v>
      </c>
      <c r="C20" s="28" t="n">
        <v>0.3</v>
      </c>
      <c r="D20" s="28" t="n">
        <v>0.4</v>
      </c>
      <c r="E20" s="28" t="n">
        <v>0.5</v>
      </c>
      <c r="F20" s="18" t="s">
        <v>169</v>
      </c>
      <c r="G20" s="19" t="s">
        <v>176</v>
      </c>
      <c r="H20" s="29" t="n">
        <v>0.35</v>
      </c>
    </row>
    <row r="21" customFormat="false" ht="15" hidden="false" customHeight="true" outlineLevel="0" collapsed="false">
      <c r="A21" s="21" t="s">
        <v>177</v>
      </c>
    </row>
    <row r="22" customFormat="false" ht="15" hidden="false" customHeight="true" outlineLevel="0" collapsed="false">
      <c r="A22" s="21" t="str">
        <f aca="false">"   "&amp;TRIM($A$14)</f>
        <v>   Low-severity &amp; false-positive alerts (noise)</v>
      </c>
      <c r="B22" s="16" t="s">
        <v>166</v>
      </c>
      <c r="C22" s="28" t="n">
        <v>0.3</v>
      </c>
      <c r="D22" s="28" t="n">
        <v>0.45</v>
      </c>
      <c r="E22" s="28" t="n">
        <v>0.6</v>
      </c>
      <c r="F22" s="18" t="s">
        <v>178</v>
      </c>
      <c r="G22" s="19" t="s">
        <v>179</v>
      </c>
      <c r="H22" s="29" t="s">
        <v>180</v>
      </c>
    </row>
    <row r="23" customFormat="false" ht="15" hidden="false" customHeight="true" outlineLevel="0" collapsed="false">
      <c r="A23" s="21" t="str">
        <f aca="false">"   "&amp;TRIM($A$15)</f>
        <v>   Medium / high alerts needing investigation</v>
      </c>
      <c r="B23" s="16" t="s">
        <v>166</v>
      </c>
      <c r="C23" s="28" t="n">
        <v>0.15</v>
      </c>
      <c r="D23" s="28" t="n">
        <v>0.25</v>
      </c>
      <c r="E23" s="28" t="n">
        <v>0.35</v>
      </c>
      <c r="F23" s="18" t="s">
        <v>178</v>
      </c>
      <c r="G23" s="19" t="s">
        <v>181</v>
      </c>
      <c r="H23" s="29" t="s">
        <v>182</v>
      </c>
    </row>
    <row r="24" customFormat="false" ht="15" hidden="false" customHeight="true" outlineLevel="0" collapsed="false">
      <c r="A24" s="21" t="str">
        <f aca="false">"   "&amp;TRIM($A$16)</f>
        <v>   Critical alerts (SLA ≤ 1–3 h)</v>
      </c>
      <c r="B24" s="16" t="s">
        <v>166</v>
      </c>
      <c r="C24" s="28" t="n">
        <v>0</v>
      </c>
      <c r="D24" s="28" t="n">
        <v>0</v>
      </c>
      <c r="E24" s="28" t="n">
        <v>0</v>
      </c>
      <c r="F24" s="18" t="s">
        <v>183</v>
      </c>
      <c r="G24" s="19" t="s">
        <v>184</v>
      </c>
      <c r="H24" s="29" t="s">
        <v>185</v>
      </c>
    </row>
    <row r="25" customFormat="false" ht="15" hidden="false" customHeight="true" outlineLevel="0" collapsed="false">
      <c r="A25" s="21" t="s">
        <v>186</v>
      </c>
    </row>
    <row r="26" customFormat="false" ht="15" hidden="false" customHeight="true" outlineLevel="0" collapsed="false">
      <c r="A26" s="16" t="str">
        <f aca="false">"   "&amp;TRIM($A$14)</f>
        <v>   Low-severity &amp; false-positive alerts (noise)</v>
      </c>
      <c r="B26" s="16" t="s">
        <v>166</v>
      </c>
      <c r="C26" s="28" t="n">
        <v>0.05</v>
      </c>
      <c r="D26" s="28" t="n">
        <v>0.03</v>
      </c>
      <c r="E26" s="28" t="n">
        <v>0.02</v>
      </c>
      <c r="F26" s="18" t="s">
        <v>169</v>
      </c>
      <c r="G26" s="19" t="s">
        <v>187</v>
      </c>
      <c r="H26" s="29" t="n">
        <v>0.04</v>
      </c>
    </row>
    <row r="27" customFormat="false" ht="15" hidden="false" customHeight="true" outlineLevel="0" collapsed="false">
      <c r="A27" s="16" t="str">
        <f aca="false">"   "&amp;TRIM($A$15)</f>
        <v>   Medium / high alerts needing investigation</v>
      </c>
      <c r="B27" s="16" t="s">
        <v>166</v>
      </c>
      <c r="C27" s="28" t="n">
        <v>0.08</v>
      </c>
      <c r="D27" s="28" t="n">
        <v>0.05</v>
      </c>
      <c r="E27" s="28" t="n">
        <v>0.03</v>
      </c>
      <c r="F27" s="18" t="s">
        <v>169</v>
      </c>
      <c r="G27" s="19" t="s">
        <v>188</v>
      </c>
      <c r="H27" s="29" t="n">
        <v>0.06</v>
      </c>
    </row>
    <row r="28" customFormat="false" ht="15" hidden="false" customHeight="true" outlineLevel="0" collapsed="false">
      <c r="A28" s="16" t="str">
        <f aca="false">"   "&amp;TRIM($A$16)</f>
        <v>   Critical alerts (SLA ≤ 1–3 h)</v>
      </c>
      <c r="B28" s="16" t="s">
        <v>166</v>
      </c>
      <c r="C28" s="28" t="n">
        <v>0.05</v>
      </c>
      <c r="D28" s="28" t="n">
        <v>0.03</v>
      </c>
      <c r="E28" s="28" t="n">
        <v>0.02</v>
      </c>
      <c r="F28" s="18" t="s">
        <v>169</v>
      </c>
      <c r="G28" s="19" t="s">
        <v>189</v>
      </c>
      <c r="H28" s="29" t="n">
        <v>0.05</v>
      </c>
    </row>
    <row r="29" customFormat="false" ht="15" hidden="false" customHeight="true" outlineLevel="0" collapsed="false">
      <c r="A29" s="21" t="s">
        <v>190</v>
      </c>
    </row>
    <row r="30" customFormat="false" ht="21.75" hidden="false" customHeight="true" outlineLevel="0" collapsed="false">
      <c r="A30" s="21" t="str">
        <f aca="false">"   "&amp;TRIM($A$14)</f>
        <v>   Low-severity &amp; false-positive alerts (noise)</v>
      </c>
      <c r="B30" s="16" t="s">
        <v>191</v>
      </c>
      <c r="C30" s="30" t="n">
        <v>150</v>
      </c>
      <c r="D30" s="30" t="n">
        <v>80</v>
      </c>
      <c r="E30" s="30" t="n">
        <v>40</v>
      </c>
      <c r="F30" s="18" t="s">
        <v>192</v>
      </c>
      <c r="G30" s="19" t="s">
        <v>193</v>
      </c>
      <c r="H30" s="31" t="s">
        <v>194</v>
      </c>
    </row>
    <row r="31" customFormat="false" ht="21.75" hidden="false" customHeight="true" outlineLevel="0" collapsed="false">
      <c r="A31" s="21" t="str">
        <f aca="false">"   "&amp;TRIM($A$15)</f>
        <v>   Medium / high alerts needing investigation</v>
      </c>
      <c r="B31" s="16" t="s">
        <v>191</v>
      </c>
      <c r="C31" s="30" t="n">
        <v>200</v>
      </c>
      <c r="D31" s="30" t="n">
        <v>120</v>
      </c>
      <c r="E31" s="30" t="n">
        <v>60</v>
      </c>
      <c r="F31" s="18" t="s">
        <v>192</v>
      </c>
      <c r="G31" s="19" t="s">
        <v>195</v>
      </c>
      <c r="H31" s="31" t="s">
        <v>196</v>
      </c>
    </row>
    <row r="32" customFormat="false" ht="21.75" hidden="false" customHeight="true" outlineLevel="0" collapsed="false">
      <c r="A32" s="21" t="str">
        <f aca="false">"   "&amp;TRIM($A$16)</f>
        <v>   Critical alerts (SLA ≤ 1–3 h)</v>
      </c>
      <c r="B32" s="16" t="s">
        <v>191</v>
      </c>
      <c r="C32" s="30" t="n">
        <v>0</v>
      </c>
      <c r="D32" s="30" t="n">
        <v>0</v>
      </c>
      <c r="E32" s="30" t="n">
        <v>0</v>
      </c>
      <c r="F32" s="18" t="s">
        <v>197</v>
      </c>
      <c r="G32" s="19" t="s">
        <v>198</v>
      </c>
      <c r="H32" s="31" t="s">
        <v>199</v>
      </c>
    </row>
    <row r="33" customFormat="false" ht="15" hidden="false" customHeight="true" outlineLevel="0" collapsed="false">
      <c r="A33" s="21" t="s">
        <v>200</v>
      </c>
    </row>
    <row r="34" customFormat="false" ht="15" hidden="false" customHeight="true" outlineLevel="0" collapsed="false">
      <c r="A34" s="16" t="str">
        <f aca="false">"   "&amp;TRIM($A$14)</f>
        <v>   Low-severity &amp; false-positive alerts (noise)</v>
      </c>
      <c r="B34" s="16" t="s">
        <v>201</v>
      </c>
      <c r="C34" s="17" t="n">
        <v>1</v>
      </c>
      <c r="D34" s="17" t="n">
        <v>1</v>
      </c>
      <c r="E34" s="17" t="n">
        <v>1</v>
      </c>
      <c r="F34" s="18" t="s">
        <v>183</v>
      </c>
      <c r="G34" s="19" t="s">
        <v>202</v>
      </c>
      <c r="H34" s="20" t="n">
        <v>1</v>
      </c>
    </row>
    <row r="35" customFormat="false" ht="15" hidden="false" customHeight="true" outlineLevel="0" collapsed="false">
      <c r="A35" s="16" t="str">
        <f aca="false">"   "&amp;TRIM($A$15)</f>
        <v>   Medium / high alerts needing investigation</v>
      </c>
      <c r="B35" s="16" t="s">
        <v>201</v>
      </c>
      <c r="C35" s="17" t="n">
        <v>1</v>
      </c>
      <c r="D35" s="17" t="n">
        <v>1</v>
      </c>
      <c r="E35" s="17" t="n">
        <v>1</v>
      </c>
      <c r="F35" s="18" t="s">
        <v>183</v>
      </c>
      <c r="G35" s="19" t="s">
        <v>203</v>
      </c>
      <c r="H35" s="20" t="n">
        <v>1</v>
      </c>
    </row>
    <row r="36" customFormat="false" ht="15" hidden="false" customHeight="true" outlineLevel="0" collapsed="false">
      <c r="A36" s="16" t="str">
        <f aca="false">"   "&amp;TRIM($A$16)</f>
        <v>   Critical alerts (SLA ≤ 1–3 h)</v>
      </c>
      <c r="B36" s="16" t="s">
        <v>201</v>
      </c>
      <c r="C36" s="17" t="n">
        <v>0</v>
      </c>
      <c r="D36" s="17" t="n">
        <v>0</v>
      </c>
      <c r="E36" s="17" t="n">
        <v>0</v>
      </c>
      <c r="F36" s="18" t="s">
        <v>183</v>
      </c>
      <c r="G36" s="19" t="s">
        <v>204</v>
      </c>
      <c r="H36" s="20" t="n">
        <v>1</v>
      </c>
    </row>
    <row r="38" customFormat="false" ht="15" hidden="false" customHeight="true" outlineLevel="0" collapsed="false">
      <c r="A38" s="15" t="s">
        <v>205</v>
      </c>
    </row>
    <row r="39" customFormat="false" ht="21.75" hidden="false" customHeight="true" outlineLevel="0" collapsed="false">
      <c r="A39" s="16" t="s">
        <v>206</v>
      </c>
      <c r="B39" s="16" t="s">
        <v>166</v>
      </c>
      <c r="C39" s="28" t="n">
        <v>0.1</v>
      </c>
      <c r="D39" s="28" t="n">
        <v>0.2</v>
      </c>
      <c r="E39" s="28" t="n">
        <v>0.3</v>
      </c>
      <c r="F39" s="18" t="s">
        <v>183</v>
      </c>
      <c r="G39" s="19" t="s">
        <v>207</v>
      </c>
      <c r="H39" s="29" t="n">
        <v>0.2</v>
      </c>
    </row>
    <row r="40" customFormat="false" ht="21.75" hidden="false" customHeight="true" outlineLevel="0" collapsed="false">
      <c r="A40" s="16" t="s">
        <v>208</v>
      </c>
      <c r="B40" s="16" t="s">
        <v>166</v>
      </c>
      <c r="C40" s="28" t="n">
        <v>0.2</v>
      </c>
      <c r="D40" s="28" t="n">
        <v>0.4</v>
      </c>
      <c r="E40" s="28" t="n">
        <v>0.5</v>
      </c>
      <c r="F40" s="18" t="s">
        <v>183</v>
      </c>
      <c r="G40" s="19" t="s">
        <v>207</v>
      </c>
      <c r="H40" s="29" t="n">
        <v>0.4</v>
      </c>
    </row>
    <row r="41" customFormat="false" ht="21.75" hidden="false" customHeight="true" outlineLevel="0" collapsed="false">
      <c r="A41" s="16" t="s">
        <v>209</v>
      </c>
      <c r="B41" s="16" t="s">
        <v>166</v>
      </c>
      <c r="C41" s="28" t="n">
        <v>0.35</v>
      </c>
      <c r="D41" s="28" t="n">
        <v>0.6</v>
      </c>
      <c r="E41" s="28" t="n">
        <v>0.7</v>
      </c>
      <c r="F41" s="18" t="s">
        <v>183</v>
      </c>
      <c r="G41" s="19" t="s">
        <v>207</v>
      </c>
      <c r="H41" s="29" t="n">
        <v>0.6</v>
      </c>
    </row>
    <row r="42" customFormat="false" ht="21.75" hidden="false" customHeight="true" outlineLevel="0" collapsed="false">
      <c r="A42" s="16" t="s">
        <v>210</v>
      </c>
      <c r="B42" s="16" t="s">
        <v>166</v>
      </c>
      <c r="C42" s="28" t="n">
        <v>0.5</v>
      </c>
      <c r="D42" s="28" t="n">
        <v>0.7</v>
      </c>
      <c r="E42" s="28" t="n">
        <v>0.8</v>
      </c>
      <c r="F42" s="18" t="s">
        <v>183</v>
      </c>
      <c r="G42" s="19" t="s">
        <v>207</v>
      </c>
      <c r="H42" s="29" t="n">
        <v>0.7</v>
      </c>
    </row>
    <row r="44" customFormat="false" ht="15" hidden="false" customHeight="true" outlineLevel="0" collapsed="false">
      <c r="A44" s="15" t="s">
        <v>211</v>
      </c>
    </row>
    <row r="45" customFormat="false" ht="21.75" hidden="false" customHeight="true" outlineLevel="0" collapsed="false">
      <c r="A45" s="16" t="s">
        <v>212</v>
      </c>
      <c r="B45" s="16" t="s">
        <v>213</v>
      </c>
      <c r="C45" s="22" t="n">
        <v>0.1</v>
      </c>
      <c r="D45" s="22" t="n">
        <v>0.05</v>
      </c>
      <c r="E45" s="22" t="n">
        <v>0.02</v>
      </c>
      <c r="F45" s="18" t="s">
        <v>169</v>
      </c>
      <c r="G45" s="19" t="s">
        <v>214</v>
      </c>
      <c r="H45" s="23" t="n">
        <v>0.08</v>
      </c>
    </row>
    <row r="46" customFormat="false" ht="15" hidden="false" customHeight="true" outlineLevel="0" collapsed="false">
      <c r="A46" s="16" t="s">
        <v>215</v>
      </c>
      <c r="B46" s="16" t="s">
        <v>216</v>
      </c>
      <c r="C46" s="32" t="n">
        <v>1.3</v>
      </c>
      <c r="D46" s="32" t="n">
        <v>1.2</v>
      </c>
      <c r="E46" s="32" t="n">
        <v>1.1</v>
      </c>
      <c r="F46" s="18" t="s">
        <v>154</v>
      </c>
      <c r="G46" s="19" t="s">
        <v>217</v>
      </c>
      <c r="H46" s="33" t="n">
        <v>1.2</v>
      </c>
    </row>
    <row r="48" customFormat="false" ht="15" hidden="false" customHeight="true" outlineLevel="0" collapsed="false">
      <c r="A48" s="15" t="s">
        <v>218</v>
      </c>
    </row>
    <row r="49" customFormat="false" ht="15" hidden="false" customHeight="true" outlineLevel="0" collapsed="false">
      <c r="A49" s="16" t="s">
        <v>219</v>
      </c>
      <c r="B49" s="16" t="s">
        <v>220</v>
      </c>
      <c r="C49" s="30" t="n">
        <v>220000</v>
      </c>
      <c r="D49" s="30" t="n">
        <v>150000</v>
      </c>
      <c r="E49" s="30" t="n">
        <v>100000</v>
      </c>
      <c r="F49" s="18" t="s">
        <v>169</v>
      </c>
      <c r="G49" s="19" t="s">
        <v>221</v>
      </c>
      <c r="H49" s="31" t="n">
        <v>90000</v>
      </c>
    </row>
    <row r="50" customFormat="false" ht="15" hidden="false" customHeight="true" outlineLevel="0" collapsed="false">
      <c r="A50" s="16" t="s">
        <v>222</v>
      </c>
      <c r="B50" s="16" t="s">
        <v>223</v>
      </c>
      <c r="C50" s="17" t="n">
        <v>3</v>
      </c>
      <c r="D50" s="17" t="n">
        <v>3</v>
      </c>
      <c r="E50" s="17" t="n">
        <v>3</v>
      </c>
      <c r="F50" s="18" t="s">
        <v>183</v>
      </c>
      <c r="G50" s="19"/>
      <c r="H50" s="20" t="n">
        <v>3</v>
      </c>
    </row>
    <row r="51" customFormat="false" ht="15" hidden="false" customHeight="true" outlineLevel="0" collapsed="false">
      <c r="A51" s="16" t="s">
        <v>224</v>
      </c>
      <c r="B51" s="16" t="s">
        <v>153</v>
      </c>
      <c r="C51" s="30" t="n">
        <v>70000</v>
      </c>
      <c r="D51" s="30" t="n">
        <v>50000</v>
      </c>
      <c r="E51" s="30" t="n">
        <v>35000</v>
      </c>
      <c r="F51" s="18" t="s">
        <v>169</v>
      </c>
      <c r="G51" s="19" t="s">
        <v>225</v>
      </c>
      <c r="H51" s="31" t="n">
        <v>40000</v>
      </c>
    </row>
    <row r="52" customFormat="false" ht="15" hidden="false" customHeight="true" outlineLevel="0" collapsed="false">
      <c r="A52" s="16" t="s">
        <v>226</v>
      </c>
      <c r="B52" s="16" t="s">
        <v>227</v>
      </c>
      <c r="C52" s="17" t="n">
        <v>1.5</v>
      </c>
      <c r="D52" s="17" t="n">
        <v>1</v>
      </c>
      <c r="E52" s="17" t="n">
        <v>0.5</v>
      </c>
      <c r="F52" s="18" t="s">
        <v>183</v>
      </c>
      <c r="G52" s="19" t="s">
        <v>228</v>
      </c>
      <c r="H52" s="20" t="n">
        <v>2</v>
      </c>
    </row>
    <row r="53" customFormat="false" ht="15" hidden="false" customHeight="true" outlineLevel="0" collapsed="false">
      <c r="A53" s="16" t="s">
        <v>229</v>
      </c>
      <c r="B53" s="16" t="s">
        <v>153</v>
      </c>
      <c r="C53" s="30" t="n">
        <v>150000</v>
      </c>
      <c r="D53" s="30" t="n">
        <v>150000</v>
      </c>
      <c r="E53" s="30" t="n">
        <v>150000</v>
      </c>
      <c r="F53" s="18" t="s">
        <v>154</v>
      </c>
      <c r="G53" s="19" t="s">
        <v>230</v>
      </c>
      <c r="H53" s="31" t="n">
        <v>55000</v>
      </c>
    </row>
    <row r="54" customFormat="false" ht="15" hidden="false" customHeight="true" outlineLevel="0" collapsed="false">
      <c r="A54" s="16" t="s">
        <v>231</v>
      </c>
      <c r="B54" s="16" t="s">
        <v>153</v>
      </c>
      <c r="C54" s="30" t="n">
        <v>70000</v>
      </c>
      <c r="D54" s="30" t="n">
        <v>55000</v>
      </c>
      <c r="E54" s="30" t="n">
        <v>40000</v>
      </c>
      <c r="F54" s="18" t="s">
        <v>169</v>
      </c>
      <c r="G54" s="19" t="s">
        <v>232</v>
      </c>
      <c r="H54" s="31" t="n">
        <v>25000</v>
      </c>
    </row>
    <row r="55" customFormat="false" ht="15" hidden="false" customHeight="true" outlineLevel="0" collapsed="false">
      <c r="A55" s="16" t="s">
        <v>233</v>
      </c>
      <c r="B55" s="16" t="s">
        <v>234</v>
      </c>
      <c r="C55" s="17" t="n">
        <v>4</v>
      </c>
      <c r="D55" s="17" t="n">
        <v>4</v>
      </c>
      <c r="E55" s="17" t="n">
        <v>4</v>
      </c>
      <c r="F55" s="18" t="s">
        <v>154</v>
      </c>
      <c r="G55" s="19" t="s">
        <v>235</v>
      </c>
      <c r="H55" s="20" t="n">
        <v>4</v>
      </c>
    </row>
    <row r="56" customFormat="false" ht="15" hidden="false" customHeight="true" outlineLevel="0" collapsed="false">
      <c r="A56" s="16" t="s">
        <v>236</v>
      </c>
      <c r="B56" s="16" t="s">
        <v>237</v>
      </c>
      <c r="C56" s="30" t="n">
        <v>10000</v>
      </c>
      <c r="D56" s="30" t="n">
        <v>7000</v>
      </c>
      <c r="E56" s="30" t="n">
        <v>5000</v>
      </c>
      <c r="F56" s="18" t="s">
        <v>169</v>
      </c>
      <c r="G56" s="19" t="s">
        <v>238</v>
      </c>
      <c r="H56" s="31" t="n">
        <v>5000</v>
      </c>
    </row>
    <row r="58" customFormat="false" ht="15" hidden="false" customHeight="true" outlineLevel="0" collapsed="false">
      <c r="A58" s="15" t="s">
        <v>239</v>
      </c>
    </row>
    <row r="59" customFormat="false" ht="15" hidden="false" customHeight="true" outlineLevel="0" collapsed="false">
      <c r="A59" s="21" t="s">
        <v>240</v>
      </c>
      <c r="B59" s="16" t="s">
        <v>166</v>
      </c>
      <c r="C59" s="28" t="n">
        <v>0.03</v>
      </c>
      <c r="D59" s="28" t="n">
        <v>0.05</v>
      </c>
      <c r="E59" s="28" t="n">
        <v>0.05</v>
      </c>
      <c r="F59" s="18" t="s">
        <v>154</v>
      </c>
      <c r="G59" s="19" t="s">
        <v>241</v>
      </c>
      <c r="H59" s="29" t="n">
        <v>0.05</v>
      </c>
    </row>
    <row r="60" customFormat="false" ht="15" hidden="false" customHeight="true" outlineLevel="0" collapsed="false">
      <c r="A60" s="21" t="s">
        <v>242</v>
      </c>
      <c r="B60" s="16" t="s">
        <v>153</v>
      </c>
      <c r="C60" s="30" t="n">
        <v>100000</v>
      </c>
      <c r="D60" s="30" t="n">
        <v>100000</v>
      </c>
      <c r="E60" s="30" t="n">
        <v>100000</v>
      </c>
      <c r="F60" s="18" t="s">
        <v>192</v>
      </c>
      <c r="G60" s="19" t="s">
        <v>243</v>
      </c>
      <c r="H60" s="31" t="n">
        <v>300000</v>
      </c>
    </row>
    <row r="62" customFormat="false" ht="15" hidden="false" customHeight="true" outlineLevel="0" collapsed="false">
      <c r="A62" s="15" t="s">
        <v>244</v>
      </c>
    </row>
    <row r="63" customFormat="false" ht="15" hidden="false" customHeight="true" outlineLevel="0" collapsed="false">
      <c r="A63" s="21" t="s">
        <v>245</v>
      </c>
      <c r="B63" s="16" t="s">
        <v>246</v>
      </c>
      <c r="C63" s="32" t="n">
        <v>0.3</v>
      </c>
      <c r="D63" s="32" t="n">
        <v>0.5</v>
      </c>
      <c r="E63" s="32" t="n">
        <v>0.2</v>
      </c>
      <c r="F63" s="18" t="s">
        <v>192</v>
      </c>
      <c r="G63" s="19" t="s">
        <v>247</v>
      </c>
      <c r="H63" s="33" t="n">
        <v>0.5</v>
      </c>
    </row>
    <row r="64" customFormat="false" ht="15" hidden="false" customHeight="true" outlineLevel="0" collapsed="false">
      <c r="A64" s="16" t="s">
        <v>248</v>
      </c>
      <c r="D64" s="34" t="n">
        <f aca="false">SUM(C63:E63)</f>
        <v>1</v>
      </c>
      <c r="G64" s="25" t="s">
        <v>249</v>
      </c>
    </row>
    <row r="66" customFormat="false" ht="15" hidden="false" customHeight="true" outlineLevel="0" collapsed="false">
      <c r="A66" s="15" t="s">
        <v>250</v>
      </c>
    </row>
    <row r="67" customFormat="false" ht="15" hidden="false" customHeight="true" outlineLevel="0" collapsed="false">
      <c r="A67" s="27" t="s">
        <v>251</v>
      </c>
      <c r="B67" s="35" t="s">
        <v>252</v>
      </c>
      <c r="C67" s="36" t="n">
        <v>21600</v>
      </c>
      <c r="D67" s="36" t="n">
        <v>83100</v>
      </c>
      <c r="E67" s="36" t="n">
        <v>143800</v>
      </c>
      <c r="F67" s="27" t="s">
        <v>253</v>
      </c>
      <c r="G67" s="37" t="s">
        <v>254</v>
      </c>
    </row>
    <row r="68" customFormat="false" ht="15" hidden="false" customHeight="true" outlineLevel="0" collapsed="false">
      <c r="A68" s="27" t="s">
        <v>255</v>
      </c>
      <c r="B68" s="35" t="s">
        <v>252</v>
      </c>
      <c r="C68" s="36" t="n">
        <v>-40000</v>
      </c>
      <c r="D68" s="36" t="n">
        <v>-15000</v>
      </c>
      <c r="E68" s="36" t="n">
        <v>-5000</v>
      </c>
      <c r="F68" s="27" t="s">
        <v>192</v>
      </c>
      <c r="G68" s="37" t="s">
        <v>256</v>
      </c>
    </row>
    <row r="70" customFormat="false" ht="15" hidden="false" customHeight="true" outlineLevel="0" collapsed="false">
      <c r="A70" s="15" t="s">
        <v>257</v>
      </c>
    </row>
    <row r="71" customFormat="false" ht="15" hidden="false" customHeight="false" outlineLevel="0" collapsed="false">
      <c r="A71" s="1" t="s">
        <v>258</v>
      </c>
    </row>
    <row r="72" customFormat="false" ht="15" hidden="false" customHeight="false" outlineLevel="0" collapsed="false">
      <c r="A72" s="1" t="s">
        <v>259</v>
      </c>
    </row>
    <row r="73" customFormat="false" ht="15" hidden="false" customHeight="false" outlineLevel="0" collapsed="false">
      <c r="A73" s="1" t="s">
        <v>260</v>
      </c>
    </row>
    <row r="74" customFormat="false" ht="15" hidden="false" customHeight="false" outlineLevel="0" collapsed="false">
      <c r="A74" s="1" t="s">
        <v>261</v>
      </c>
    </row>
    <row r="75" customFormat="false" ht="15" hidden="false" customHeight="false" outlineLevel="0" collapsed="false">
      <c r="A75" s="1" t="s">
        <v>262</v>
      </c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F6:F9 F14:F16 F18:F20 F22:F24 F26:F28 F30:F32 F34:F36 F39:F42 F45:F46 F49:F56 F59:F60 F63 F67:F68" type="list">
      <formula1>"measured,analogy,guess,guess → S4 test,decision,judgement"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1" t="s">
        <v>263</v>
      </c>
    </row>
    <row r="2" customFormat="false" ht="15" hidden="false" customHeight="true" outlineLevel="0" collapsed="false">
      <c r="A2" s="38" t="s">
        <v>264</v>
      </c>
    </row>
    <row r="4" customFormat="false" ht="27.75" hidden="false" customHeight="true" outlineLevel="0" collapsed="false">
      <c r="A4" s="13" t="s">
        <v>265</v>
      </c>
      <c r="B4" s="13" t="s">
        <v>137</v>
      </c>
      <c r="C4" s="13" t="s">
        <v>266</v>
      </c>
      <c r="D4" s="13" t="s">
        <v>139</v>
      </c>
      <c r="E4" s="13" t="s">
        <v>267</v>
      </c>
      <c r="F4" s="13" t="s">
        <v>268</v>
      </c>
    </row>
    <row r="5" customFormat="false" ht="15" hidden="false" customHeight="true" outlineLevel="0" collapsed="false">
      <c r="A5" s="21" t="s">
        <v>269</v>
      </c>
      <c r="C5" s="39" t="n">
        <f aca="false">IFERROR(AVERAGE(Inputs!C39:C42),0)</f>
        <v>0.2875</v>
      </c>
      <c r="D5" s="39" t="n">
        <f aca="false">IFERROR(AVERAGE(Inputs!D39:D42),0)</f>
        <v>0.475</v>
      </c>
      <c r="E5" s="39" t="n">
        <f aca="false">IFERROR(AVERAGE(Inputs!E39:E42),0)</f>
        <v>0.575</v>
      </c>
      <c r="F5" s="25" t="s">
        <v>270</v>
      </c>
    </row>
    <row r="7" customFormat="false" ht="15" hidden="false" customHeight="true" outlineLevel="0" collapsed="false">
      <c r="A7" s="15" t="str">
        <f aca="false">UPPER(TRIM(Inputs!A14))</f>
        <v>LOW-SEVERITY &amp; FALSE-POSITIVE ALERTS (NOISE)</v>
      </c>
    </row>
    <row r="8" customFormat="false" ht="15" hidden="false" customHeight="true" outlineLevel="0" collapsed="false">
      <c r="A8" s="16" t="s">
        <v>271</v>
      </c>
      <c r="B8" s="16" t="s">
        <v>146</v>
      </c>
      <c r="C8" s="40" t="n">
        <f aca="false">Inputs!C$6*Inputs!C14</f>
        <v>12000</v>
      </c>
      <c r="D8" s="40" t="n">
        <f aca="false">Inputs!D$6*Inputs!D14</f>
        <v>17280</v>
      </c>
      <c r="E8" s="40" t="n">
        <f aca="false">Inputs!E$6*Inputs!E14</f>
        <v>20736</v>
      </c>
      <c r="F8" s="19" t="s">
        <v>272</v>
      </c>
    </row>
    <row r="9" customFormat="false" ht="15" hidden="false" customHeight="true" outlineLevel="0" collapsed="false">
      <c r="A9" s="16" t="s">
        <v>273</v>
      </c>
      <c r="B9" s="16" t="s">
        <v>146</v>
      </c>
      <c r="C9" s="41" t="n">
        <f aca="false">C8*Inputs!C18</f>
        <v>7200</v>
      </c>
      <c r="D9" s="41" t="n">
        <f aca="false">D8*Inputs!D18</f>
        <v>12096</v>
      </c>
      <c r="E9" s="41" t="n">
        <f aca="false">E8*Inputs!E18</f>
        <v>16588.8</v>
      </c>
      <c r="F9" s="19" t="s">
        <v>274</v>
      </c>
    </row>
    <row r="10" customFormat="false" ht="15" hidden="false" customHeight="true" outlineLevel="0" collapsed="false">
      <c r="A10" s="16" t="s">
        <v>275</v>
      </c>
      <c r="B10" s="16" t="s">
        <v>146</v>
      </c>
      <c r="C10" s="41" t="n">
        <f aca="false">C9*Inputs!C22*Inputs!C34</f>
        <v>2160</v>
      </c>
      <c r="D10" s="41" t="n">
        <f aca="false">D9*Inputs!D22*Inputs!D34</f>
        <v>5443.2</v>
      </c>
      <c r="E10" s="41" t="n">
        <f aca="false">E9*Inputs!E22*Inputs!E34</f>
        <v>9953.28</v>
      </c>
      <c r="F10" s="19" t="s">
        <v>276</v>
      </c>
    </row>
    <row r="11" customFormat="false" ht="15" hidden="false" customHeight="true" outlineLevel="0" collapsed="false">
      <c r="A11" s="16" t="s">
        <v>277</v>
      </c>
      <c r="B11" s="16" t="s">
        <v>278</v>
      </c>
      <c r="C11" s="41" t="n">
        <f aca="false">C10*12*C$5</f>
        <v>7452</v>
      </c>
      <c r="D11" s="41" t="n">
        <f aca="false">D10*12*D$5</f>
        <v>31026.24</v>
      </c>
      <c r="E11" s="41" t="n">
        <f aca="false">E10*12*E$5</f>
        <v>68677.632</v>
      </c>
      <c r="F11" s="19" t="s">
        <v>279</v>
      </c>
    </row>
    <row r="12" customFormat="false" ht="15" hidden="false" customHeight="true" outlineLevel="0" collapsed="false">
      <c r="A12" s="16" t="s">
        <v>280</v>
      </c>
      <c r="B12" s="16" t="s">
        <v>252</v>
      </c>
      <c r="C12" s="42" t="n">
        <f aca="false">C11*Inputs!C$9</f>
        <v>44712</v>
      </c>
      <c r="D12" s="42" t="n">
        <f aca="false">D11*Inputs!D$9</f>
        <v>248209.92</v>
      </c>
      <c r="E12" s="42" t="n">
        <f aca="false">E11*Inputs!E$9</f>
        <v>686776.32</v>
      </c>
      <c r="F12" s="19" t="s">
        <v>281</v>
      </c>
    </row>
    <row r="13" customFormat="false" ht="15" hidden="false" customHeight="true" outlineLevel="0" collapsed="false">
      <c r="A13" s="16" t="s">
        <v>282</v>
      </c>
      <c r="B13" s="16" t="s">
        <v>252</v>
      </c>
      <c r="C13" s="42" t="n">
        <f aca="false">C11*Inputs!C26*Inputs!C30</f>
        <v>55890</v>
      </c>
      <c r="D13" s="42" t="n">
        <f aca="false">D11*Inputs!D26*Inputs!D30</f>
        <v>74462.976</v>
      </c>
      <c r="E13" s="42" t="n">
        <f aca="false">E11*Inputs!E26*Inputs!E30</f>
        <v>54942.1056</v>
      </c>
      <c r="F13" s="19" t="s">
        <v>283</v>
      </c>
    </row>
    <row r="14" customFormat="false" ht="15" hidden="false" customHeight="true" outlineLevel="0" collapsed="false">
      <c r="A14" s="16" t="s">
        <v>284</v>
      </c>
      <c r="B14" s="16" t="s">
        <v>252</v>
      </c>
      <c r="C14" s="42" t="n">
        <f aca="false">C11*Inputs!C$45*Inputs!C$46</f>
        <v>968.76</v>
      </c>
      <c r="D14" s="42" t="n">
        <f aca="false">D11*Inputs!D$45*Inputs!D$46</f>
        <v>1861.5744</v>
      </c>
      <c r="E14" s="42" t="n">
        <f aca="false">E11*Inputs!E$45*Inputs!E$46</f>
        <v>1510.907904</v>
      </c>
      <c r="F14" s="19" t="s">
        <v>285</v>
      </c>
    </row>
    <row r="15" customFormat="false" ht="15" hidden="false" customHeight="true" outlineLevel="0" collapsed="false">
      <c r="A15" s="21" t="s">
        <v>286</v>
      </c>
      <c r="B15" s="16" t="s">
        <v>252</v>
      </c>
      <c r="C15" s="43" t="n">
        <f aca="false">C12-C13-C14</f>
        <v>-12146.76</v>
      </c>
      <c r="D15" s="43" t="n">
        <f aca="false">D12-D13-D14</f>
        <v>171885.3696</v>
      </c>
      <c r="E15" s="43" t="n">
        <f aca="false">E12-E13-E14</f>
        <v>630323.306496</v>
      </c>
      <c r="F15" s="19" t="s">
        <v>287</v>
      </c>
    </row>
    <row r="17" customFormat="false" ht="15" hidden="false" customHeight="true" outlineLevel="0" collapsed="false">
      <c r="A17" s="15" t="str">
        <f aca="false">UPPER(TRIM(Inputs!A15))</f>
        <v>MEDIUM / HIGH ALERTS NEEDING INVESTIGATION</v>
      </c>
    </row>
    <row r="18" customFormat="false" ht="15" hidden="false" customHeight="true" outlineLevel="0" collapsed="false">
      <c r="A18" s="16" t="s">
        <v>271</v>
      </c>
      <c r="B18" s="16" t="s">
        <v>146</v>
      </c>
      <c r="C18" s="40" t="n">
        <f aca="false">Inputs!C$6*Inputs!C15</f>
        <v>7000</v>
      </c>
      <c r="D18" s="40" t="n">
        <f aca="false">Inputs!D$6*Inputs!D15</f>
        <v>10080</v>
      </c>
      <c r="E18" s="40" t="n">
        <f aca="false">Inputs!E$6*Inputs!E15</f>
        <v>12096</v>
      </c>
      <c r="F18" s="19" t="s">
        <v>272</v>
      </c>
    </row>
    <row r="19" customFormat="false" ht="15" hidden="false" customHeight="true" outlineLevel="0" collapsed="false">
      <c r="A19" s="16" t="s">
        <v>273</v>
      </c>
      <c r="B19" s="16" t="s">
        <v>146</v>
      </c>
      <c r="C19" s="41" t="n">
        <f aca="false">C18*Inputs!C19</f>
        <v>2800</v>
      </c>
      <c r="D19" s="41" t="n">
        <f aca="false">D18*Inputs!D19</f>
        <v>5040</v>
      </c>
      <c r="E19" s="41" t="n">
        <f aca="false">E18*Inputs!E19</f>
        <v>7257.6</v>
      </c>
      <c r="F19" s="19" t="s">
        <v>274</v>
      </c>
    </row>
    <row r="20" customFormat="false" ht="15" hidden="false" customHeight="true" outlineLevel="0" collapsed="false">
      <c r="A20" s="16" t="s">
        <v>275</v>
      </c>
      <c r="B20" s="16" t="s">
        <v>146</v>
      </c>
      <c r="C20" s="41" t="n">
        <f aca="false">C19*Inputs!C23*Inputs!C35</f>
        <v>420</v>
      </c>
      <c r="D20" s="41" t="n">
        <f aca="false">D19*Inputs!D23*Inputs!D35</f>
        <v>1260</v>
      </c>
      <c r="E20" s="41" t="n">
        <f aca="false">E19*Inputs!E23*Inputs!E35</f>
        <v>2540.16</v>
      </c>
      <c r="F20" s="19" t="s">
        <v>276</v>
      </c>
    </row>
    <row r="21" customFormat="false" ht="15" hidden="false" customHeight="true" outlineLevel="0" collapsed="false">
      <c r="A21" s="16" t="s">
        <v>277</v>
      </c>
      <c r="B21" s="16" t="s">
        <v>278</v>
      </c>
      <c r="C21" s="41" t="n">
        <f aca="false">C20*12*C$5</f>
        <v>1449</v>
      </c>
      <c r="D21" s="41" t="n">
        <f aca="false">D20*12*D$5</f>
        <v>7182</v>
      </c>
      <c r="E21" s="41" t="n">
        <f aca="false">E20*12*E$5</f>
        <v>17527.104</v>
      </c>
      <c r="F21" s="19" t="s">
        <v>279</v>
      </c>
    </row>
    <row r="22" customFormat="false" ht="15" hidden="false" customHeight="true" outlineLevel="0" collapsed="false">
      <c r="A22" s="16" t="s">
        <v>280</v>
      </c>
      <c r="B22" s="16" t="s">
        <v>252</v>
      </c>
      <c r="C22" s="42" t="n">
        <f aca="false">C21*Inputs!C$9</f>
        <v>8694</v>
      </c>
      <c r="D22" s="42" t="n">
        <f aca="false">D21*Inputs!D$9</f>
        <v>57456</v>
      </c>
      <c r="E22" s="42" t="n">
        <f aca="false">E21*Inputs!E$9</f>
        <v>175271.04</v>
      </c>
      <c r="F22" s="19" t="s">
        <v>281</v>
      </c>
    </row>
    <row r="23" customFormat="false" ht="15" hidden="false" customHeight="true" outlineLevel="0" collapsed="false">
      <c r="A23" s="16" t="s">
        <v>282</v>
      </c>
      <c r="B23" s="16" t="s">
        <v>252</v>
      </c>
      <c r="C23" s="42" t="n">
        <f aca="false">C21*Inputs!C27*Inputs!C31</f>
        <v>23184</v>
      </c>
      <c r="D23" s="42" t="n">
        <f aca="false">D21*Inputs!D27*Inputs!D31</f>
        <v>43092</v>
      </c>
      <c r="E23" s="42" t="n">
        <f aca="false">E21*Inputs!E27*Inputs!E31</f>
        <v>31548.7872</v>
      </c>
      <c r="F23" s="19" t="s">
        <v>283</v>
      </c>
    </row>
    <row r="24" customFormat="false" ht="15" hidden="false" customHeight="true" outlineLevel="0" collapsed="false">
      <c r="A24" s="16" t="s">
        <v>284</v>
      </c>
      <c r="B24" s="16" t="s">
        <v>252</v>
      </c>
      <c r="C24" s="42" t="n">
        <f aca="false">C21*Inputs!C$45*Inputs!C$46</f>
        <v>188.37</v>
      </c>
      <c r="D24" s="42" t="n">
        <f aca="false">D21*Inputs!D$45*Inputs!D$46</f>
        <v>430.92</v>
      </c>
      <c r="E24" s="42" t="n">
        <f aca="false">E21*Inputs!E$45*Inputs!E$46</f>
        <v>385.596288</v>
      </c>
      <c r="F24" s="19" t="s">
        <v>285</v>
      </c>
    </row>
    <row r="25" customFormat="false" ht="15" hidden="false" customHeight="true" outlineLevel="0" collapsed="false">
      <c r="A25" s="21" t="s">
        <v>286</v>
      </c>
      <c r="B25" s="16" t="s">
        <v>252</v>
      </c>
      <c r="C25" s="43" t="n">
        <f aca="false">C22-C23-C24</f>
        <v>-14678.37</v>
      </c>
      <c r="D25" s="43" t="n">
        <f aca="false">D22-D23-D24</f>
        <v>13933.08</v>
      </c>
      <c r="E25" s="43" t="n">
        <f aca="false">E22-E23-E24</f>
        <v>143336.656512</v>
      </c>
      <c r="F25" s="19" t="s">
        <v>287</v>
      </c>
    </row>
    <row r="27" customFormat="false" ht="15" hidden="false" customHeight="true" outlineLevel="0" collapsed="false">
      <c r="A27" s="15" t="str">
        <f aca="false">UPPER(TRIM(Inputs!A16))</f>
        <v>CRITICAL ALERTS (SLA ≤ 1–3 H)</v>
      </c>
    </row>
    <row r="28" customFormat="false" ht="15" hidden="false" customHeight="true" outlineLevel="0" collapsed="false">
      <c r="A28" s="16" t="s">
        <v>271</v>
      </c>
      <c r="B28" s="16" t="s">
        <v>146</v>
      </c>
      <c r="C28" s="40" t="n">
        <f aca="false">Inputs!C$6*Inputs!C16</f>
        <v>1000</v>
      </c>
      <c r="D28" s="40" t="n">
        <f aca="false">Inputs!D$6*Inputs!D16</f>
        <v>1440</v>
      </c>
      <c r="E28" s="40" t="n">
        <f aca="false">Inputs!E$6*Inputs!E16</f>
        <v>1728</v>
      </c>
      <c r="F28" s="19" t="s">
        <v>272</v>
      </c>
    </row>
    <row r="29" customFormat="false" ht="15" hidden="false" customHeight="true" outlineLevel="0" collapsed="false">
      <c r="A29" s="16" t="s">
        <v>273</v>
      </c>
      <c r="B29" s="16" t="s">
        <v>146</v>
      </c>
      <c r="C29" s="41" t="n">
        <f aca="false">C28*Inputs!C20</f>
        <v>300</v>
      </c>
      <c r="D29" s="41" t="n">
        <f aca="false">D28*Inputs!D20</f>
        <v>576</v>
      </c>
      <c r="E29" s="41" t="n">
        <f aca="false">E28*Inputs!E20</f>
        <v>864</v>
      </c>
      <c r="F29" s="19" t="s">
        <v>274</v>
      </c>
    </row>
    <row r="30" customFormat="false" ht="15" hidden="false" customHeight="true" outlineLevel="0" collapsed="false">
      <c r="A30" s="16" t="s">
        <v>275</v>
      </c>
      <c r="B30" s="16" t="s">
        <v>146</v>
      </c>
      <c r="C30" s="41" t="n">
        <f aca="false">C29*Inputs!C24*Inputs!C36</f>
        <v>0</v>
      </c>
      <c r="D30" s="41" t="n">
        <f aca="false">D29*Inputs!D24*Inputs!D36</f>
        <v>0</v>
      </c>
      <c r="E30" s="41" t="n">
        <f aca="false">E29*Inputs!E24*Inputs!E36</f>
        <v>0</v>
      </c>
      <c r="F30" s="19" t="s">
        <v>276</v>
      </c>
    </row>
    <row r="31" customFormat="false" ht="15" hidden="false" customHeight="true" outlineLevel="0" collapsed="false">
      <c r="A31" s="16" t="s">
        <v>277</v>
      </c>
      <c r="B31" s="16" t="s">
        <v>278</v>
      </c>
      <c r="C31" s="41" t="n">
        <f aca="false">C30*12*C$5</f>
        <v>0</v>
      </c>
      <c r="D31" s="41" t="n">
        <f aca="false">D30*12*D$5</f>
        <v>0</v>
      </c>
      <c r="E31" s="41" t="n">
        <f aca="false">E30*12*E$5</f>
        <v>0</v>
      </c>
      <c r="F31" s="19" t="s">
        <v>279</v>
      </c>
    </row>
    <row r="32" customFormat="false" ht="15" hidden="false" customHeight="true" outlineLevel="0" collapsed="false">
      <c r="A32" s="16" t="s">
        <v>280</v>
      </c>
      <c r="B32" s="16" t="s">
        <v>252</v>
      </c>
      <c r="C32" s="42" t="n">
        <f aca="false">C31*Inputs!C$9</f>
        <v>0</v>
      </c>
      <c r="D32" s="42" t="n">
        <f aca="false">D31*Inputs!D$9</f>
        <v>0</v>
      </c>
      <c r="E32" s="42" t="n">
        <f aca="false">E31*Inputs!E$9</f>
        <v>0</v>
      </c>
      <c r="F32" s="19" t="s">
        <v>281</v>
      </c>
    </row>
    <row r="33" customFormat="false" ht="15" hidden="false" customHeight="true" outlineLevel="0" collapsed="false">
      <c r="A33" s="16" t="s">
        <v>282</v>
      </c>
      <c r="B33" s="16" t="s">
        <v>252</v>
      </c>
      <c r="C33" s="42" t="n">
        <f aca="false">C31*Inputs!C28*Inputs!C32</f>
        <v>0</v>
      </c>
      <c r="D33" s="42" t="n">
        <f aca="false">D31*Inputs!D28*Inputs!D32</f>
        <v>0</v>
      </c>
      <c r="E33" s="42" t="n">
        <f aca="false">E31*Inputs!E28*Inputs!E32</f>
        <v>0</v>
      </c>
      <c r="F33" s="19" t="s">
        <v>283</v>
      </c>
    </row>
    <row r="34" customFormat="false" ht="15" hidden="false" customHeight="true" outlineLevel="0" collapsed="false">
      <c r="A34" s="16" t="s">
        <v>284</v>
      </c>
      <c r="B34" s="16" t="s">
        <v>252</v>
      </c>
      <c r="C34" s="42" t="n">
        <f aca="false">C31*Inputs!C$45*Inputs!C$46</f>
        <v>0</v>
      </c>
      <c r="D34" s="42" t="n">
        <f aca="false">D31*Inputs!D$45*Inputs!D$46</f>
        <v>0</v>
      </c>
      <c r="E34" s="42" t="n">
        <f aca="false">E31*Inputs!E$45*Inputs!E$46</f>
        <v>0</v>
      </c>
      <c r="F34" s="19" t="s">
        <v>285</v>
      </c>
    </row>
    <row r="35" customFormat="false" ht="15" hidden="false" customHeight="true" outlineLevel="0" collapsed="false">
      <c r="A35" s="21" t="s">
        <v>286</v>
      </c>
      <c r="B35" s="16" t="s">
        <v>252</v>
      </c>
      <c r="C35" s="43" t="n">
        <f aca="false">C32-C33-C34</f>
        <v>0</v>
      </c>
      <c r="D35" s="43" t="n">
        <f aca="false">D32-D33-D34</f>
        <v>0</v>
      </c>
      <c r="E35" s="43" t="n">
        <f aca="false">E32-E33-E34</f>
        <v>0</v>
      </c>
      <c r="F35" s="19" t="s">
        <v>287</v>
      </c>
    </row>
    <row r="37" customFormat="false" ht="15" hidden="false" customHeight="true" outlineLevel="0" collapsed="false">
      <c r="A37" s="15" t="s">
        <v>288</v>
      </c>
    </row>
    <row r="38" customFormat="false" ht="15" hidden="false" customHeight="true" outlineLevel="0" collapsed="false">
      <c r="A38" s="16" t="s">
        <v>289</v>
      </c>
      <c r="B38" s="16" t="s">
        <v>278</v>
      </c>
      <c r="C38" s="41" t="n">
        <f aca="false">C11+C21+C31</f>
        <v>8901</v>
      </c>
      <c r="D38" s="41" t="n">
        <f aca="false">D11+D21+D31</f>
        <v>38208.24</v>
      </c>
      <c r="E38" s="41" t="n">
        <f aca="false">E11+E21+E31</f>
        <v>86204.736</v>
      </c>
      <c r="F38" s="19" t="s">
        <v>290</v>
      </c>
    </row>
    <row r="39" customFormat="false" ht="15" hidden="false" customHeight="true" outlineLevel="0" collapsed="false">
      <c r="A39" s="16" t="s">
        <v>280</v>
      </c>
      <c r="B39" s="16" t="s">
        <v>252</v>
      </c>
      <c r="C39" s="42" t="n">
        <f aca="false">C12+C22+C32</f>
        <v>53406</v>
      </c>
      <c r="D39" s="42" t="n">
        <f aca="false">D12+D22+D32</f>
        <v>305665.92</v>
      </c>
      <c r="E39" s="42" t="n">
        <f aca="false">E12+E22+E32</f>
        <v>862047.36</v>
      </c>
      <c r="F39" s="19" t="s">
        <v>290</v>
      </c>
    </row>
    <row r="40" customFormat="false" ht="15" hidden="false" customHeight="true" outlineLevel="0" collapsed="false">
      <c r="A40" s="16" t="s">
        <v>282</v>
      </c>
      <c r="B40" s="16" t="s">
        <v>252</v>
      </c>
      <c r="C40" s="42" t="n">
        <f aca="false">C13+C23+C33</f>
        <v>79074</v>
      </c>
      <c r="D40" s="42" t="n">
        <f aca="false">D13+D23+D33</f>
        <v>117554.976</v>
      </c>
      <c r="E40" s="42" t="n">
        <f aca="false">E13+E23+E33</f>
        <v>86490.8928</v>
      </c>
      <c r="F40" s="19" t="s">
        <v>290</v>
      </c>
    </row>
    <row r="41" customFormat="false" ht="15" hidden="false" customHeight="true" outlineLevel="0" collapsed="false">
      <c r="A41" s="16" t="s">
        <v>291</v>
      </c>
      <c r="B41" s="16" t="s">
        <v>252</v>
      </c>
      <c r="C41" s="42" t="n">
        <f aca="false">C14+C24+C34</f>
        <v>1157.13</v>
      </c>
      <c r="D41" s="42" t="n">
        <f aca="false">D14+D24+D34</f>
        <v>2292.4944</v>
      </c>
      <c r="E41" s="42" t="n">
        <f aca="false">E14+E24+E34</f>
        <v>1896.504192</v>
      </c>
      <c r="F41" s="19" t="s">
        <v>290</v>
      </c>
    </row>
    <row r="42" customFormat="false" ht="15" hidden="false" customHeight="true" outlineLevel="0" collapsed="false">
      <c r="A42" s="21" t="s">
        <v>292</v>
      </c>
      <c r="B42" s="16" t="s">
        <v>252</v>
      </c>
      <c r="C42" s="43" t="n">
        <f aca="false">C15+C25+C35</f>
        <v>-26825.13</v>
      </c>
      <c r="D42" s="43" t="n">
        <f aca="false">D15+D25+D35</f>
        <v>185818.4496</v>
      </c>
      <c r="E42" s="43" t="n">
        <f aca="false">E15+E25+E35</f>
        <v>773659.963008</v>
      </c>
      <c r="F42" s="19" t="s">
        <v>290</v>
      </c>
    </row>
    <row r="44" customFormat="false" ht="15" hidden="false" customHeight="true" outlineLevel="0" collapsed="false">
      <c r="A44" s="16" t="s">
        <v>293</v>
      </c>
      <c r="B44" s="16" t="s">
        <v>166</v>
      </c>
      <c r="C44" s="44" t="n">
        <f aca="false">IF(Inputs!C6=0,0,C38/(Inputs!C6*12))</f>
        <v>0.0370875</v>
      </c>
      <c r="D44" s="44" t="n">
        <f aca="false">IF(Inputs!D6=0,0,D38/(Inputs!D6*12))</f>
        <v>0.11055625</v>
      </c>
      <c r="E44" s="44" t="n">
        <f aca="false">IF(Inputs!E6=0,0,E38/(Inputs!E6*12))</f>
        <v>0.2078625</v>
      </c>
      <c r="F44" s="19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11" t="s">
        <v>295</v>
      </c>
    </row>
    <row r="2" customFormat="false" ht="15" hidden="false" customHeight="true" outlineLevel="0" collapsed="false">
      <c r="A2" s="38" t="s">
        <v>296</v>
      </c>
    </row>
    <row r="4" customFormat="false" ht="27.75" hidden="false" customHeight="true" outlineLevel="0" collapsed="false">
      <c r="A4" s="13" t="s">
        <v>265</v>
      </c>
      <c r="B4" s="13" t="s">
        <v>137</v>
      </c>
      <c r="C4" s="13" t="s">
        <v>138</v>
      </c>
      <c r="D4" s="13" t="s">
        <v>139</v>
      </c>
      <c r="E4" s="13" t="s">
        <v>140</v>
      </c>
      <c r="F4" s="13" t="s">
        <v>268</v>
      </c>
    </row>
    <row r="5" customFormat="false" ht="15" hidden="false" customHeight="true" outlineLevel="0" collapsed="false">
      <c r="A5" s="15" t="s">
        <v>297</v>
      </c>
    </row>
    <row r="6" customFormat="false" ht="15" hidden="false" customHeight="true" outlineLevel="0" collapsed="false">
      <c r="A6" s="16" t="s">
        <v>298</v>
      </c>
      <c r="B6" s="16" t="s">
        <v>252</v>
      </c>
      <c r="C6" s="45" t="n">
        <f aca="false">Upside!C42+N(Inputs!C67)+N(Inputs!C68)</f>
        <v>-45225.13</v>
      </c>
      <c r="D6" s="45" t="n">
        <f aca="false">Upside!D42+N(Inputs!D67)+N(Inputs!D68)</f>
        <v>253918.4496</v>
      </c>
      <c r="E6" s="45" t="n">
        <f aca="false">Upside!E42+N(Inputs!E67)+N(Inputs!E68)</f>
        <v>912459.963008</v>
      </c>
      <c r="F6" s="19" t="s">
        <v>299</v>
      </c>
    </row>
    <row r="8" customFormat="false" ht="15" hidden="false" customHeight="true" outlineLevel="0" collapsed="false">
      <c r="A8" s="15" t="s">
        <v>218</v>
      </c>
    </row>
    <row r="9" customFormat="false" ht="15" hidden="false" customHeight="true" outlineLevel="0" collapsed="false">
      <c r="A9" s="16" t="s">
        <v>300</v>
      </c>
      <c r="B9" s="16" t="s">
        <v>252</v>
      </c>
      <c r="C9" s="45" t="n">
        <f aca="false">IFERROR(Inputs!C49/Inputs!C50,0)</f>
        <v>73333.3333333333</v>
      </c>
      <c r="D9" s="45" t="n">
        <f aca="false">IFERROR(Inputs!D49/Inputs!D50,0)</f>
        <v>50000</v>
      </c>
      <c r="E9" s="45" t="n">
        <f aca="false">IFERROR(Inputs!E49/Inputs!E50,0)</f>
        <v>33333.3333333333</v>
      </c>
      <c r="F9" s="19" t="s">
        <v>301</v>
      </c>
    </row>
    <row r="10" customFormat="false" ht="15" hidden="false" customHeight="true" outlineLevel="0" collapsed="false">
      <c r="A10" s="16" t="s">
        <v>302</v>
      </c>
      <c r="B10" s="16" t="s">
        <v>252</v>
      </c>
      <c r="C10" s="45" t="n">
        <f aca="false">Inputs!C51</f>
        <v>70000</v>
      </c>
      <c r="D10" s="45" t="n">
        <f aca="false">Inputs!D51</f>
        <v>50000</v>
      </c>
      <c r="E10" s="45" t="n">
        <f aca="false">Inputs!E51</f>
        <v>35000</v>
      </c>
      <c r="F10" s="19"/>
    </row>
    <row r="11" customFormat="false" ht="15" hidden="false" customHeight="true" outlineLevel="0" collapsed="false">
      <c r="A11" s="16" t="s">
        <v>303</v>
      </c>
      <c r="B11" s="16" t="s">
        <v>252</v>
      </c>
      <c r="C11" s="45" t="n">
        <f aca="false">Inputs!C52*Inputs!C53</f>
        <v>225000</v>
      </c>
      <c r="D11" s="45" t="n">
        <f aca="false">Inputs!D52*Inputs!D53</f>
        <v>150000</v>
      </c>
      <c r="E11" s="45" t="n">
        <f aca="false">Inputs!E52*Inputs!E53</f>
        <v>75000</v>
      </c>
      <c r="F11" s="19" t="s">
        <v>304</v>
      </c>
    </row>
    <row r="12" customFormat="false" ht="15" hidden="false" customHeight="true" outlineLevel="0" collapsed="false">
      <c r="A12" s="16" t="s">
        <v>231</v>
      </c>
      <c r="B12" s="16" t="s">
        <v>252</v>
      </c>
      <c r="C12" s="45" t="n">
        <f aca="false">Inputs!C54</f>
        <v>70000</v>
      </c>
      <c r="D12" s="45" t="n">
        <f aca="false">Inputs!D54</f>
        <v>55000</v>
      </c>
      <c r="E12" s="45" t="n">
        <f aca="false">Inputs!E54</f>
        <v>40000</v>
      </c>
      <c r="F12" s="19"/>
    </row>
    <row r="13" customFormat="false" ht="15" hidden="false" customHeight="true" outlineLevel="0" collapsed="false">
      <c r="A13" s="16" t="s">
        <v>305</v>
      </c>
      <c r="B13" s="16" t="s">
        <v>252</v>
      </c>
      <c r="C13" s="45" t="n">
        <f aca="false">Inputs!C55*Inputs!C56</f>
        <v>40000</v>
      </c>
      <c r="D13" s="45" t="n">
        <f aca="false">Inputs!D55*Inputs!D56</f>
        <v>28000</v>
      </c>
      <c r="E13" s="45" t="n">
        <f aca="false">Inputs!E55*Inputs!E56</f>
        <v>20000</v>
      </c>
      <c r="F13" s="19" t="s">
        <v>306</v>
      </c>
    </row>
    <row r="14" customFormat="false" ht="15" hidden="false" customHeight="true" outlineLevel="0" collapsed="false">
      <c r="A14" s="21" t="s">
        <v>307</v>
      </c>
      <c r="B14" s="16" t="s">
        <v>252</v>
      </c>
      <c r="C14" s="43" t="n">
        <f aca="false">SUM(C9:C13)</f>
        <v>478333.333333333</v>
      </c>
      <c r="D14" s="43" t="n">
        <f aca="false">SUM(D9:D13)</f>
        <v>333000</v>
      </c>
      <c r="E14" s="43" t="n">
        <f aca="false">SUM(E9:E13)</f>
        <v>203333.333333333</v>
      </c>
      <c r="F14" s="19"/>
    </row>
    <row r="16" customFormat="false" ht="15" hidden="false" customHeight="true" outlineLevel="0" collapsed="false">
      <c r="A16" s="15" t="s">
        <v>308</v>
      </c>
    </row>
    <row r="17" customFormat="false" ht="15" hidden="false" customHeight="true" outlineLevel="0" collapsed="false">
      <c r="A17" s="21" t="s">
        <v>309</v>
      </c>
      <c r="B17" s="16" t="s">
        <v>252</v>
      </c>
      <c r="C17" s="43" t="n">
        <f aca="false">C6-C14</f>
        <v>-523558.463333333</v>
      </c>
      <c r="D17" s="43" t="n">
        <f aca="false">D6-D14</f>
        <v>-79081.5504000001</v>
      </c>
      <c r="E17" s="43" t="n">
        <f aca="false">E6-E14</f>
        <v>709126.629674666</v>
      </c>
      <c r="F17" s="19" t="s">
        <v>310</v>
      </c>
    </row>
    <row r="18" customFormat="false" ht="15" hidden="false" customHeight="true" outlineLevel="0" collapsed="false">
      <c r="A18" s="16" t="s">
        <v>311</v>
      </c>
      <c r="B18" s="16" t="s">
        <v>246</v>
      </c>
      <c r="C18" s="46" t="n">
        <f aca="false">Inputs!C63</f>
        <v>0.3</v>
      </c>
      <c r="D18" s="46" t="n">
        <f aca="false">Inputs!D63</f>
        <v>0.5</v>
      </c>
      <c r="E18" s="46" t="n">
        <f aca="false">Inputs!E63</f>
        <v>0.2</v>
      </c>
      <c r="F18" s="19" t="s">
        <v>312</v>
      </c>
    </row>
    <row r="19" customFormat="false" ht="15" hidden="false" customHeight="true" outlineLevel="0" collapsed="false">
      <c r="A19" s="21" t="s">
        <v>313</v>
      </c>
      <c r="B19" s="1" t="s">
        <v>252</v>
      </c>
      <c r="D19" s="47" t="n">
        <f aca="false">SUMPRODUCT(C17:E17,C18:E18)</f>
        <v>-54782.9882650667</v>
      </c>
      <c r="F19" s="25" t="s">
        <v>314</v>
      </c>
    </row>
    <row r="21" customFormat="false" ht="15" hidden="false" customHeight="true" outlineLevel="0" collapsed="false">
      <c r="A21" s="15" t="s">
        <v>239</v>
      </c>
    </row>
    <row r="22" customFormat="false" ht="15" hidden="false" customHeight="true" outlineLevel="0" collapsed="false">
      <c r="A22" s="16" t="s">
        <v>315</v>
      </c>
      <c r="B22" s="16" t="s">
        <v>252</v>
      </c>
      <c r="C22" s="45" t="n">
        <f aca="false">Inputs!C59*Inputs!C6*12*Inputs!C9</f>
        <v>43200</v>
      </c>
      <c r="D22" s="45" t="n">
        <f aca="false">Inputs!D59*Inputs!D6*12*Inputs!D9</f>
        <v>138240</v>
      </c>
      <c r="E22" s="45" t="n">
        <f aca="false">Inputs!E59*Inputs!E6*12*Inputs!E9</f>
        <v>207360</v>
      </c>
      <c r="F22" s="19" t="s">
        <v>316</v>
      </c>
    </row>
    <row r="23" customFormat="false" ht="15" hidden="false" customHeight="true" outlineLevel="0" collapsed="false">
      <c r="A23" s="16" t="s">
        <v>317</v>
      </c>
      <c r="B23" s="16" t="s">
        <v>252</v>
      </c>
      <c r="C23" s="45" t="n">
        <f aca="false">Inputs!C60</f>
        <v>100000</v>
      </c>
      <c r="D23" s="45" t="n">
        <f aca="false">Inputs!D60</f>
        <v>100000</v>
      </c>
      <c r="E23" s="45" t="n">
        <f aca="false">Inputs!E60</f>
        <v>100000</v>
      </c>
      <c r="F23" s="19" t="s">
        <v>312</v>
      </c>
    </row>
    <row r="24" customFormat="false" ht="15" hidden="false" customHeight="true" outlineLevel="0" collapsed="false">
      <c r="A24" s="16" t="s">
        <v>318</v>
      </c>
      <c r="B24" s="1" t="s">
        <v>252</v>
      </c>
      <c r="D24" s="42" t="n">
        <f aca="false">D19-D22</f>
        <v>-193022.988265067</v>
      </c>
    </row>
    <row r="25" customFormat="false" ht="15" hidden="false" customHeight="true" outlineLevel="0" collapsed="false">
      <c r="A25" s="16" t="s">
        <v>319</v>
      </c>
      <c r="B25" s="1" t="s">
        <v>252</v>
      </c>
      <c r="D25" s="42" t="n">
        <f aca="false">D19-D23</f>
        <v>-154782.988265067</v>
      </c>
    </row>
    <row r="26" customFormat="false" ht="15" hidden="false" customHeight="true" outlineLevel="0" collapsed="false">
      <c r="A26" s="16" t="s">
        <v>320</v>
      </c>
      <c r="D26" s="48" t="str">
        <f aca="false">IF(C17&gt;=C23,"yes","no")</f>
        <v>no</v>
      </c>
    </row>
    <row r="27" customFormat="false" ht="31.5" hidden="false" customHeight="true" outlineLevel="0" collapsed="false">
      <c r="A27" s="21" t="s">
        <v>321</v>
      </c>
      <c r="D27" s="49" t="str">
        <f aca="false"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>NO-GO — does not beat do-nothing</v>
      </c>
      <c r="E27" s="49"/>
      <c r="F27" s="49"/>
    </row>
    <row r="29" customFormat="false" ht="15" hidden="false" customHeight="true" outlineLevel="0" collapsed="false">
      <c r="A29" s="15" t="s">
        <v>322</v>
      </c>
    </row>
    <row r="30" customFormat="false" ht="15" hidden="false" customHeight="true" outlineLevel="0" collapsed="false">
      <c r="A30" s="38" t="s">
        <v>323</v>
      </c>
    </row>
    <row r="31" customFormat="false" ht="27.75" hidden="false" customHeight="true" outlineLevel="0" collapsed="false">
      <c r="A31" s="13" t="s">
        <v>324</v>
      </c>
      <c r="B31" s="13"/>
      <c r="C31" s="13" t="s">
        <v>325</v>
      </c>
      <c r="D31" s="13" t="s">
        <v>326</v>
      </c>
      <c r="E31" s="13" t="s">
        <v>327</v>
      </c>
      <c r="F31" s="13" t="s">
        <v>328</v>
      </c>
    </row>
    <row r="32" customFormat="false" ht="15" hidden="false" customHeight="true" outlineLevel="0" collapsed="false">
      <c r="A32" s="50" t="n">
        <v>0.3</v>
      </c>
      <c r="C32" s="42" t="n">
        <f aca="false">((Upside!D9*A32*Inputs!D34*12*Upside!D$5)*Inputs!D$9-(Upside!D9*A32*Inputs!D34*12*Upside!D$5)*Inputs!D26*Inputs!D30-(Upside!D9*A32*Inputs!D34*12*Upside!D$5)*Inputs!D$45*Inputs!D$46)+Upside!D25+Upside!D35-D14+N(Inputs!$D$67)+N(Inputs!$D$68)</f>
        <v>-136376.6736</v>
      </c>
      <c r="D32" s="42" t="n">
        <f aca="false">C32-D23</f>
        <v>-236376.6736</v>
      </c>
      <c r="E32" s="42" t="n">
        <f aca="false">C32-D22</f>
        <v>-274616.6736</v>
      </c>
      <c r="F32" s="16" t="str">
        <f aca="false">IF(Inputs!D6="","",IF(C32&lt;D22,"below do-nothing",IF(C32&lt;D23,"below the hurdle — the next-best project wins","clears the hurdle")))</f>
        <v>below do-nothing</v>
      </c>
    </row>
    <row r="33" customFormat="false" ht="15" hidden="false" customHeight="true" outlineLevel="0" collapsed="false">
      <c r="A33" s="50" t="n">
        <v>0.45</v>
      </c>
      <c r="C33" s="42" t="n">
        <f aca="false">((Upside!D9*A33*Inputs!D34*12*Upside!D$5)*Inputs!D$9-(Upside!D9*A33*Inputs!D34*12*Upside!D$5)*Inputs!D26*Inputs!D30-(Upside!D9*A33*Inputs!D34*12*Upside!D$5)*Inputs!D$45*Inputs!D$46)+Upside!D25+Upside!D35-D14+N(Inputs!$D$67)+N(Inputs!$D$68)</f>
        <v>-79081.5504000001</v>
      </c>
      <c r="D33" s="42" t="n">
        <f aca="false">C33-D23</f>
        <v>-179081.5504</v>
      </c>
      <c r="E33" s="42" t="n">
        <f aca="false">C33-D22</f>
        <v>-217321.5504</v>
      </c>
      <c r="F33" s="16" t="str">
        <f aca="false">IF(Inputs!D6="","",IF(C33&lt;D22,"below do-nothing",IF(C33&lt;D23,"below the hurdle — the next-best project wins","clears the hurdle")))</f>
        <v>below do-nothing</v>
      </c>
    </row>
    <row r="34" customFormat="false" ht="15" hidden="false" customHeight="true" outlineLevel="0" collapsed="false">
      <c r="A34" s="50" t="n">
        <v>0.6</v>
      </c>
      <c r="C34" s="42" t="n">
        <f aca="false">((Upside!D9*A34*Inputs!D34*12*Upside!D$5)*Inputs!D$9-(Upside!D9*A34*Inputs!D34*12*Upside!D$5)*Inputs!D26*Inputs!D30-(Upside!D9*A34*Inputs!D34*12*Upside!D$5)*Inputs!D$45*Inputs!D$46)+Upside!D25+Upside!D35-D14+N(Inputs!$D$67)+N(Inputs!$D$68)</f>
        <v>-21786.4272</v>
      </c>
      <c r="D34" s="42" t="n">
        <f aca="false">C34-D23</f>
        <v>-121786.4272</v>
      </c>
      <c r="E34" s="42" t="n">
        <f aca="false">C34-D22</f>
        <v>-160026.4272</v>
      </c>
      <c r="F34" s="16" t="str">
        <f aca="false">IF(Inputs!D6="","",IF(C34&lt;D22,"below do-nothing",IF(C34&lt;D23,"below the hurdle — the next-best project wins","clears the hurdle")))</f>
        <v>below do-nothing</v>
      </c>
    </row>
    <row r="35" customFormat="false" ht="15" hidden="false" customHeight="true" outlineLevel="0" collapsed="false">
      <c r="A35" s="50" t="n">
        <v>0.65</v>
      </c>
      <c r="C35" s="42" t="n">
        <f aca="false">((Upside!D9*A35*Inputs!D34*12*Upside!D$5)*Inputs!D$9-(Upside!D9*A35*Inputs!D34*12*Upside!D$5)*Inputs!D26*Inputs!D30-(Upside!D9*A35*Inputs!D34*12*Upside!D$5)*Inputs!D$45*Inputs!D$46)+Upside!D25+Upside!D35-D14+N(Inputs!$D$67)+N(Inputs!$D$68)</f>
        <v>-2688.05280000001</v>
      </c>
      <c r="D35" s="42" t="n">
        <f aca="false">C35-D23</f>
        <v>-102688.0528</v>
      </c>
      <c r="E35" s="42" t="n">
        <f aca="false">C35-D22</f>
        <v>-140928.0528</v>
      </c>
      <c r="F35" s="16" t="str">
        <f aca="false">IF(Inputs!D6="","",IF(C35&lt;D22,"below do-nothing",IF(C35&lt;D23,"below the hurdle — the next-best project wins","clears the hurdle")))</f>
        <v>below do-nothing</v>
      </c>
    </row>
    <row r="36" customFormat="false" ht="15" hidden="false" customHeight="true" outlineLevel="0" collapsed="false">
      <c r="A36" s="50" t="n">
        <v>0.75</v>
      </c>
      <c r="C36" s="42" t="n">
        <f aca="false">((Upside!D9*A36*Inputs!D34*12*Upside!D$5)*Inputs!D$9-(Upside!D9*A36*Inputs!D34*12*Upside!D$5)*Inputs!D26*Inputs!D30-(Upside!D9*A36*Inputs!D34*12*Upside!D$5)*Inputs!D$45*Inputs!D$46)+Upside!D25+Upside!D35-D14+N(Inputs!$D$67)+N(Inputs!$D$68)</f>
        <v>35508.696</v>
      </c>
      <c r="D36" s="42" t="n">
        <f aca="false">C36-D23</f>
        <v>-64491.304</v>
      </c>
      <c r="E36" s="42" t="n">
        <f aca="false">C36-D22</f>
        <v>-102731.304</v>
      </c>
      <c r="F36" s="16" t="str">
        <f aca="false">IF(Inputs!D6="","",IF(C36&lt;D22,"below do-nothing",IF(C36&lt;D23,"below the hurdle — the next-best project wins","clears the hurdle")))</f>
        <v>below do-nothing</v>
      </c>
    </row>
    <row r="38" customFormat="false" ht="27.75" hidden="false" customHeight="true" outlineLevel="0" collapsed="false">
      <c r="A38" s="51" t="s">
        <v>329</v>
      </c>
      <c r="B38" s="51"/>
      <c r="C38" s="51"/>
      <c r="D38" s="51"/>
      <c r="E38" s="51"/>
      <c r="F38" s="51"/>
    </row>
  </sheetData>
  <mergeCells count="2">
    <mergeCell ref="D27:F2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5" min="3" style="1" width="11"/>
    <col collapsed="false" customWidth="true" hidden="false" outlineLevel="0" max="6" min="6" style="1" width="13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11" t="s">
        <v>330</v>
      </c>
      <c r="B1" s="52"/>
      <c r="C1" s="52"/>
      <c r="D1" s="52"/>
      <c r="E1" s="52"/>
      <c r="F1" s="52"/>
      <c r="G1" s="52"/>
    </row>
    <row r="2" customFormat="false" ht="31.5" hidden="false" customHeight="true" outlineLevel="0" collapsed="false">
      <c r="A2" s="10" t="s">
        <v>331</v>
      </c>
      <c r="B2" s="10"/>
      <c r="C2" s="10"/>
      <c r="D2" s="10"/>
      <c r="E2" s="10"/>
      <c r="F2" s="10"/>
      <c r="G2" s="10"/>
    </row>
    <row r="3" customFormat="false" ht="15" hidden="false" customHeight="true" outlineLevel="0" collapsed="false">
      <c r="A3" s="52"/>
      <c r="B3" s="52"/>
      <c r="C3" s="52"/>
      <c r="D3" s="52"/>
      <c r="E3" s="52"/>
      <c r="F3" s="52"/>
      <c r="G3" s="52"/>
    </row>
    <row r="4" customFormat="false" ht="15" hidden="false" customHeight="true" outlineLevel="0" collapsed="false">
      <c r="A4" s="53" t="s">
        <v>332</v>
      </c>
      <c r="B4" s="53" t="s">
        <v>333</v>
      </c>
      <c r="C4" s="53" t="s">
        <v>334</v>
      </c>
      <c r="D4" s="53" t="s">
        <v>335</v>
      </c>
      <c r="E4" s="53" t="s">
        <v>336</v>
      </c>
      <c r="F4" s="53" t="s">
        <v>337</v>
      </c>
      <c r="G4" s="53" t="s">
        <v>338</v>
      </c>
    </row>
    <row r="5" customFormat="false" ht="30" hidden="false" customHeight="true" outlineLevel="0" collapsed="false">
      <c r="A5" s="54" t="s">
        <v>339</v>
      </c>
      <c r="B5" s="55" t="s">
        <v>340</v>
      </c>
      <c r="C5" s="56" t="n">
        <v>0.1</v>
      </c>
      <c r="D5" s="57" t="n">
        <v>4</v>
      </c>
      <c r="E5" s="57" t="n">
        <v>2</v>
      </c>
      <c r="F5" s="57" t="n">
        <v>4</v>
      </c>
      <c r="G5" s="58" t="s">
        <v>341</v>
      </c>
    </row>
    <row r="6" customFormat="false" ht="30" hidden="false" customHeight="true" outlineLevel="0" collapsed="false">
      <c r="A6" s="54" t="s">
        <v>342</v>
      </c>
      <c r="B6" s="55" t="s">
        <v>343</v>
      </c>
      <c r="C6" s="56" t="n">
        <v>0.1</v>
      </c>
      <c r="D6" s="57" t="n">
        <v>4</v>
      </c>
      <c r="E6" s="57" t="n">
        <v>2</v>
      </c>
      <c r="F6" s="57" t="n">
        <v>5</v>
      </c>
      <c r="G6" s="58" t="s">
        <v>344</v>
      </c>
    </row>
    <row r="7" customFormat="false" ht="30" hidden="false" customHeight="true" outlineLevel="0" collapsed="false">
      <c r="A7" s="54" t="s">
        <v>345</v>
      </c>
      <c r="B7" s="55" t="s">
        <v>346</v>
      </c>
      <c r="C7" s="56" t="n">
        <v>0.05</v>
      </c>
      <c r="D7" s="57" t="n">
        <v>1</v>
      </c>
      <c r="E7" s="57" t="n">
        <v>4</v>
      </c>
      <c r="F7" s="57" t="n">
        <v>3</v>
      </c>
      <c r="G7" s="58" t="s">
        <v>347</v>
      </c>
    </row>
    <row r="8" customFormat="false" ht="30" hidden="false" customHeight="true" outlineLevel="0" collapsed="false">
      <c r="A8" s="54" t="s">
        <v>348</v>
      </c>
      <c r="B8" s="55" t="s">
        <v>349</v>
      </c>
      <c r="C8" s="56" t="n">
        <v>0.05</v>
      </c>
      <c r="D8" s="57" t="n">
        <v>1</v>
      </c>
      <c r="E8" s="57" t="n">
        <v>4</v>
      </c>
      <c r="F8" s="57" t="n">
        <v>3</v>
      </c>
      <c r="G8" s="58" t="s">
        <v>350</v>
      </c>
    </row>
    <row r="9" customFormat="false" ht="30" hidden="false" customHeight="true" outlineLevel="0" collapsed="false">
      <c r="A9" s="54" t="s">
        <v>351</v>
      </c>
      <c r="B9" s="55" t="s">
        <v>352</v>
      </c>
      <c r="C9" s="56" t="n">
        <v>0.1</v>
      </c>
      <c r="D9" s="57" t="n">
        <v>2</v>
      </c>
      <c r="E9" s="57" t="n">
        <v>4</v>
      </c>
      <c r="F9" s="57" t="n">
        <v>3</v>
      </c>
      <c r="G9" s="58" t="s">
        <v>353</v>
      </c>
    </row>
    <row r="10" customFormat="false" ht="30" hidden="false" customHeight="true" outlineLevel="0" collapsed="false">
      <c r="A10" s="54" t="s">
        <v>354</v>
      </c>
      <c r="B10" s="55" t="s">
        <v>355</v>
      </c>
      <c r="C10" s="56" t="n">
        <v>0.1</v>
      </c>
      <c r="D10" s="57" t="n">
        <v>2</v>
      </c>
      <c r="E10" s="57" t="n">
        <v>3</v>
      </c>
      <c r="F10" s="57" t="n">
        <v>4</v>
      </c>
      <c r="G10" s="58" t="s">
        <v>356</v>
      </c>
    </row>
    <row r="11" customFormat="false" ht="30" hidden="false" customHeight="true" outlineLevel="0" collapsed="false">
      <c r="A11" s="54" t="s">
        <v>357</v>
      </c>
      <c r="B11" s="55" t="s">
        <v>358</v>
      </c>
      <c r="C11" s="56" t="n">
        <v>0.05</v>
      </c>
      <c r="D11" s="57" t="n">
        <v>3</v>
      </c>
      <c r="E11" s="57" t="n">
        <v>2</v>
      </c>
      <c r="F11" s="57" t="n">
        <v>4</v>
      </c>
      <c r="G11" s="58" t="s">
        <v>359</v>
      </c>
    </row>
    <row r="12" customFormat="false" ht="30" hidden="false" customHeight="true" outlineLevel="0" collapsed="false">
      <c r="A12" s="54" t="s">
        <v>360</v>
      </c>
      <c r="B12" s="55" t="s">
        <v>361</v>
      </c>
      <c r="C12" s="56" t="n">
        <v>0.2</v>
      </c>
      <c r="D12" s="57" t="n">
        <v>5</v>
      </c>
      <c r="E12" s="57" t="n">
        <v>1</v>
      </c>
      <c r="F12" s="57" t="n">
        <v>5</v>
      </c>
      <c r="G12" s="58" t="s">
        <v>362</v>
      </c>
    </row>
    <row r="13" customFormat="false" ht="30" hidden="false" customHeight="true" outlineLevel="0" collapsed="false">
      <c r="A13" s="54" t="s">
        <v>363</v>
      </c>
      <c r="B13" s="55" t="s">
        <v>364</v>
      </c>
      <c r="C13" s="56" t="n">
        <v>0.1</v>
      </c>
      <c r="D13" s="57" t="n">
        <v>4</v>
      </c>
      <c r="E13" s="57" t="n">
        <v>2</v>
      </c>
      <c r="F13" s="57" t="n">
        <v>4</v>
      </c>
      <c r="G13" s="58" t="s">
        <v>365</v>
      </c>
    </row>
    <row r="14" customFormat="false" ht="30" hidden="false" customHeight="true" outlineLevel="0" collapsed="false">
      <c r="A14" s="54" t="s">
        <v>366</v>
      </c>
      <c r="B14" s="55" t="s">
        <v>367</v>
      </c>
      <c r="C14" s="56" t="n">
        <v>0.15</v>
      </c>
      <c r="D14" s="57" t="n">
        <v>4</v>
      </c>
      <c r="E14" s="57" t="n">
        <v>2</v>
      </c>
      <c r="F14" s="57" t="n">
        <v>4</v>
      </c>
      <c r="G14" s="58" t="s">
        <v>368</v>
      </c>
    </row>
    <row r="15" customFormat="false" ht="15" hidden="false" customHeight="true" outlineLevel="0" collapsed="false">
      <c r="A15" s="52"/>
      <c r="B15" s="52"/>
      <c r="C15" s="52"/>
      <c r="D15" s="52"/>
      <c r="E15" s="52"/>
      <c r="F15" s="52"/>
      <c r="G15" s="52"/>
    </row>
    <row r="16" customFormat="false" ht="15" hidden="false" customHeight="true" outlineLevel="0" collapsed="false">
      <c r="A16" s="52"/>
      <c r="B16" s="37" t="s">
        <v>369</v>
      </c>
      <c r="C16" s="59" t="n">
        <f aca="false">SUM(C5:C14)</f>
        <v>1</v>
      </c>
      <c r="D16" s="52"/>
      <c r="E16" s="52"/>
      <c r="F16" s="52"/>
      <c r="G16" s="52"/>
    </row>
    <row r="17" customFormat="false" ht="15" hidden="false" customHeight="true" outlineLevel="0" collapsed="false">
      <c r="A17" s="52"/>
      <c r="B17" s="60" t="s">
        <v>370</v>
      </c>
      <c r="C17" s="52"/>
      <c r="D17" s="61" t="n">
        <f aca="false">IFERROR(IF(COUNT(D5:D14)=0,"",SUMPRODUCT($C$5:$C$14,D5:D14)/SUM($C$5:$C$14)),"")</f>
        <v>3.45</v>
      </c>
      <c r="E17" s="61" t="n">
        <f aca="false">IFERROR(IF(COUNT(E5:E14)=0,"",SUMPRODUCT($C$5:$C$14,E5:E14)/SUM($C$5:$C$14)),"")</f>
        <v>2.3</v>
      </c>
      <c r="F17" s="61" t="n">
        <f aca="false">IFERROR(IF(COUNT(F5:F14)=0,"",SUMPRODUCT($C$5:$C$14,F5:F14)/SUM($C$5:$C$14)),"")</f>
        <v>4.1</v>
      </c>
      <c r="G17" s="52"/>
    </row>
    <row r="18" customFormat="false" ht="15" hidden="false" customHeight="true" outlineLevel="0" collapsed="false">
      <c r="A18" s="52"/>
      <c r="B18" s="60" t="s">
        <v>371</v>
      </c>
      <c r="C18" s="52"/>
      <c r="D18" s="15" t="str">
        <f aca="false">IF(COUNT(D17:F17)=0,"— score the three options —",IF(ABS(C16-1)&gt;0.001,"— weights must sum to 100 % —",INDEX($D$4:$F$4,MATCH(MAX(D17:F17),D17:F17,0))))</f>
        <v>Orchestrate</v>
      </c>
      <c r="E18" s="52"/>
      <c r="F18" s="52"/>
      <c r="G18" s="37" t="s">
        <v>372</v>
      </c>
    </row>
    <row r="19" customFormat="false" ht="15" hidden="false" customHeight="true" outlineLevel="0" collapsed="false">
      <c r="A19" s="52"/>
      <c r="B19" s="52"/>
      <c r="C19" s="52"/>
      <c r="D19" s="52"/>
      <c r="E19" s="52"/>
      <c r="F19" s="52"/>
      <c r="G19" s="52"/>
    </row>
    <row r="20" customFormat="false" ht="15" hidden="false" customHeight="true" outlineLevel="0" collapsed="false">
      <c r="A20" s="52"/>
      <c r="B20" s="52"/>
      <c r="C20" s="52"/>
      <c r="D20" s="52"/>
      <c r="E20" s="52"/>
      <c r="F20" s="52"/>
      <c r="G20" s="52"/>
    </row>
    <row r="21" customFormat="false" ht="15" hidden="false" customHeight="true" outlineLevel="0" collapsed="false">
      <c r="A21" s="15" t="s">
        <v>373</v>
      </c>
      <c r="B21" s="52"/>
      <c r="C21" s="52"/>
      <c r="D21" s="52"/>
      <c r="E21" s="52"/>
      <c r="F21" s="52"/>
      <c r="G21" s="52"/>
    </row>
    <row r="22" customFormat="false" ht="15" hidden="false" customHeight="true" outlineLevel="0" collapsed="false">
      <c r="A22" s="52"/>
      <c r="B22" s="62" t="s">
        <v>374</v>
      </c>
      <c r="C22" s="52"/>
      <c r="D22" s="63" t="n">
        <v>0.5</v>
      </c>
      <c r="E22" s="64" t="s">
        <v>375</v>
      </c>
      <c r="F22" s="52"/>
      <c r="G22" s="37" t="s">
        <v>376</v>
      </c>
    </row>
    <row r="23" customFormat="false" ht="15" hidden="false" customHeight="true" outlineLevel="0" collapsed="false">
      <c r="A23" s="52"/>
      <c r="B23" s="62" t="s">
        <v>377</v>
      </c>
      <c r="C23" s="52"/>
      <c r="D23" s="65" t="n">
        <f aca="false">Upside!D38</f>
        <v>38208.24</v>
      </c>
      <c r="E23" s="64" t="s">
        <v>278</v>
      </c>
      <c r="F23" s="52"/>
      <c r="G23" s="37" t="s">
        <v>378</v>
      </c>
    </row>
    <row r="24" customFormat="false" ht="15" hidden="false" customHeight="true" outlineLevel="0" collapsed="false">
      <c r="A24" s="52"/>
      <c r="B24" s="60" t="s">
        <v>379</v>
      </c>
      <c r="C24" s="52"/>
      <c r="D24" s="66" t="n">
        <f aca="false">IFERROR(D22*D23,0)</f>
        <v>19104.12</v>
      </c>
      <c r="E24" s="64" t="s">
        <v>252</v>
      </c>
      <c r="F24" s="52"/>
      <c r="G24" s="37" t="s">
        <v>380</v>
      </c>
    </row>
    <row r="25" customFormat="false" ht="15" hidden="false" customHeight="true" outlineLevel="0" collapsed="false">
      <c r="A25" s="52"/>
      <c r="B25" s="62" t="s">
        <v>381</v>
      </c>
      <c r="C25" s="52"/>
      <c r="D25" s="65" t="n">
        <f aca="false">Upside!D41</f>
        <v>2292.4944</v>
      </c>
      <c r="E25" s="64" t="s">
        <v>252</v>
      </c>
      <c r="F25" s="52"/>
      <c r="G25" s="37" t="s">
        <v>378</v>
      </c>
    </row>
    <row r="26" customFormat="false" ht="15" hidden="false" customHeight="true" outlineLevel="0" collapsed="false">
      <c r="A26" s="52"/>
      <c r="B26" s="62" t="s">
        <v>382</v>
      </c>
      <c r="C26" s="52"/>
      <c r="D26" s="65" t="n">
        <f aca="false">Decision!D9+Decision!D10+Decision!D13</f>
        <v>128000</v>
      </c>
      <c r="E26" s="64" t="s">
        <v>252</v>
      </c>
      <c r="F26" s="52"/>
      <c r="G26" s="37" t="s">
        <v>383</v>
      </c>
    </row>
    <row r="27" customFormat="false" ht="15" hidden="false" customHeight="true" outlineLevel="0" collapsed="false">
      <c r="A27" s="52"/>
      <c r="B27" s="60" t="s">
        <v>384</v>
      </c>
      <c r="C27" s="52"/>
      <c r="D27" s="66" t="n">
        <f aca="false">D25+D26</f>
        <v>130292.4944</v>
      </c>
      <c r="E27" s="64" t="s">
        <v>252</v>
      </c>
      <c r="F27" s="52"/>
      <c r="G27" s="37" t="s">
        <v>385</v>
      </c>
    </row>
    <row r="28" customFormat="false" ht="15" hidden="false" customHeight="true" outlineLevel="0" collapsed="false">
      <c r="A28" s="52"/>
      <c r="B28" s="60" t="s">
        <v>386</v>
      </c>
      <c r="C28" s="52"/>
      <c r="D28" s="66" t="n">
        <f aca="false">D27-D24</f>
        <v>111188.3744</v>
      </c>
      <c r="E28" s="64" t="s">
        <v>252</v>
      </c>
      <c r="F28" s="52"/>
      <c r="G28" s="37" t="s">
        <v>387</v>
      </c>
    </row>
    <row r="29" customFormat="false" ht="15" hidden="false" customHeight="true" outlineLevel="0" collapsed="false">
      <c r="A29" s="52"/>
      <c r="B29" s="52"/>
      <c r="C29" s="52"/>
      <c r="D29" s="52"/>
      <c r="E29" s="52"/>
      <c r="F29" s="52"/>
      <c r="G29" s="52"/>
    </row>
  </sheetData>
  <mergeCells count="1">
    <mergeCell ref="A2:G2"/>
  </mergeCells>
  <dataValidations count="1">
    <dataValidation allowBlank="true" error="Score from 1 to 5" errorStyle="stop" errorTitle="1 to 5" operator="between" showDropDown="false" showErrorMessage="false" showInputMessage="false" sqref="D5:F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2026-09-30T14:11:07Z</dcterms:created>
  <dc:creator>openpyxl</dc:creator>
  <dc:description/>
  <dc:language>en-US</dc:language>
  <cp:lastModifiedBy/>
  <dcterms:modified xsi:type="dcterms:W3CDTF">2026-10-19T09:52:04Z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